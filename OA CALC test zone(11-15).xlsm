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date1904="1" codeName="ThisWorkbook" defaultThemeVersion="124226"/>
  <mc:AlternateContent xmlns:mc="http://schemas.openxmlformats.org/markup-compatibility/2006">
    <mc:Choice Requires="x15">
      <x15ac:absPath xmlns:x15ac="http://schemas.microsoft.com/office/spreadsheetml/2010/11/ac" url="H:\004_spreadsheets\"/>
    </mc:Choice>
  </mc:AlternateContent>
  <bookViews>
    <workbookView xWindow="0" yWindow="0" windowWidth="23685" windowHeight="12750" activeTab="2"/>
  </bookViews>
  <sheets>
    <sheet name="Direct Export" sheetId="22" r:id="rId1"/>
    <sheet name="Directions" sheetId="12" r:id="rId2"/>
    <sheet name="Calc default (2)" sheetId="28" r:id="rId3"/>
    <sheet name="Table 6-1 Rates" sheetId="15" r:id="rId4"/>
    <sheet name="LEED Comments-1" sheetId="17" r:id="rId5"/>
  </sheets>
  <functionGroups builtInGroupCount="18"/>
  <definedNames>
    <definedName name="As" localSheetId="2">'Calc default (2)'!$F$7</definedName>
    <definedName name="As">#REF!</definedName>
    <definedName name="capital_one___phelan" localSheetId="0">'Direct Export'!$A$1:$ED$28</definedName>
    <definedName name="D" localSheetId="2">'Calc default (2)'!$R$44</definedName>
    <definedName name="D">#REF!</definedName>
    <definedName name="Default_people_lookup" localSheetId="2">'Calc default (2)'!$Y$19</definedName>
    <definedName name="Default_people_lookup">#REF!</definedName>
    <definedName name="Er_Row" localSheetId="2">'Calc default (2)'!#REF!</definedName>
    <definedName name="Er_Row">#REF!</definedName>
    <definedName name="error_flag" localSheetId="2">'Calc default (2)'!$J$72</definedName>
    <definedName name="error_flag">#REF!</definedName>
    <definedName name="Ev" localSheetId="2">'Calc default (2)'!$J$60</definedName>
    <definedName name="Ev">#REF!</definedName>
    <definedName name="eval_cell" localSheetId="2">'Calc default (2)'!$X$7</definedName>
    <definedName name="eval_cell">#REF!</definedName>
    <definedName name="ez_index" localSheetId="2">'Calc default (2)'!$A$163:$A$173</definedName>
    <definedName name="ez_index">#REF!</definedName>
    <definedName name="ez_table" localSheetId="2">'Calc default (2)'!$A$163:$B$173</definedName>
    <definedName name="ez_table">#REF!</definedName>
    <definedName name="Ez1_Row" localSheetId="2">'Calc default (2)'!#REF!</definedName>
    <definedName name="Ez1_Row">#REF!</definedName>
    <definedName name="Ez2_Row" localSheetId="2">'Calc default (2)'!#REF!</definedName>
    <definedName name="Ez2_Row">#REF!</definedName>
    <definedName name="First_Zone" localSheetId="2">'Calc default (2)'!#REF!</definedName>
    <definedName name="First_Zone">#REF!</definedName>
    <definedName name="ITU_Row" localSheetId="2">'Calc default (2)'!#REF!</definedName>
    <definedName name="ITU_Row">#REF!</definedName>
    <definedName name="Last_zone" localSheetId="2">'Calc default (2)'!$Q$15</definedName>
    <definedName name="Last_zone">#REF!</definedName>
    <definedName name="Population_Diversity" localSheetId="2">'Calc default (2)'!$H$8</definedName>
    <definedName name="Population_Diversity">#REF!</definedName>
    <definedName name="_xlnm.Print_Area" localSheetId="2">'Calc default (2)'!$A$1:$Q$75</definedName>
    <definedName name="_xlnm.Print_Titles" localSheetId="2">'Calc default (2)'!$A:$J</definedName>
    <definedName name="Ps" localSheetId="2">'Calc default (2)'!$F$8</definedName>
    <definedName name="Ps">#REF!</definedName>
    <definedName name="Ps_diversified" localSheetId="2">'Calc default (2)'!$J$8</definedName>
    <definedName name="Ps_diversified">#REF!</definedName>
    <definedName name="ras" localSheetId="2">'Calc default (2)'!$F$10</definedName>
    <definedName name="ras">#REF!</definedName>
    <definedName name="rps" localSheetId="2">'Calc default (2)'!$F$11</definedName>
    <definedName name="rps">#REF!</definedName>
    <definedName name="Space_air_rates">'Table 6-1 Rates'!$A$5:$F$94</definedName>
    <definedName name="Space_index">'Table 6-1 Rates'!$A$5:$A$94</definedName>
    <definedName name="Space_Type_Row" localSheetId="2">'Calc default (2)'!#REF!</definedName>
    <definedName name="Space_Type_Row">#REF!</definedName>
    <definedName name="str_convert" localSheetId="2">'Calc default (2)'!$X$6</definedName>
    <definedName name="str_convert">#REF!</definedName>
    <definedName name="TU_units" localSheetId="2">'Calc default (2)'!$C$157:$C$160</definedName>
    <definedName name="TU_units">#REF!</definedName>
    <definedName name="Units">'Table 6-1 Rates'!$B$3:$E$3</definedName>
    <definedName name="V_ot_App_G" localSheetId="2">'Calc default (2)'!$J$63</definedName>
    <definedName name="V_ot_App_G">#REF!</definedName>
    <definedName name="V_ou" localSheetId="2">'Calc default (2)'!$J$44</definedName>
    <definedName name="V_ou">#REF!</definedName>
    <definedName name="Vot" localSheetId="2">'Calc default (2)'!$J$36</definedName>
    <definedName name="Vpsd" localSheetId="2">'Calc default (2)'!$F$9</definedName>
    <definedName name="Y_App_G" localSheetId="2">'Calc default (2)'!$J$64</definedName>
    <definedName name="Ypd" localSheetId="2">'Calc default (2)'!$J$39</definedName>
    <definedName name="Zone_Names_in_Use" localSheetId="2">'Calc default (2)'!$Q$15:$Q$15</definedName>
    <definedName name="Zone_Names_Source" localSheetId="2">'Calc default (2)'!$B$192:$B$440</definedName>
    <definedName name="Zone_Names_Source_past3" localSheetId="2">'Calc default (2)'!$B$195:$B$440</definedName>
  </definedNames>
  <calcPr calcId="171027"/>
</workbook>
</file>

<file path=xl/calcChain.xml><?xml version="1.0" encoding="utf-8"?>
<calcChain xmlns="http://schemas.openxmlformats.org/spreadsheetml/2006/main">
  <c r="K39" i="28" l="1"/>
  <c r="A158" i="28" l="1"/>
  <c r="A157" i="28"/>
  <c r="J74" i="28"/>
  <c r="D74" i="28"/>
  <c r="J72" i="28"/>
  <c r="J66" i="28"/>
  <c r="J65" i="28"/>
  <c r="D65" i="28"/>
  <c r="J64" i="28"/>
  <c r="J63" i="28"/>
  <c r="D63" i="28"/>
  <c r="J61" i="28"/>
  <c r="J60" i="28"/>
  <c r="Q59" i="28"/>
  <c r="P59" i="28"/>
  <c r="O59" i="28"/>
  <c r="N59" i="28"/>
  <c r="M59" i="28"/>
  <c r="L59" i="28"/>
  <c r="K59" i="28"/>
  <c r="J58" i="28"/>
  <c r="R57" i="28"/>
  <c r="Q57" i="28"/>
  <c r="P57" i="28"/>
  <c r="O57" i="28"/>
  <c r="N57" i="28"/>
  <c r="M57" i="28"/>
  <c r="L57" i="28"/>
  <c r="K57" i="28"/>
  <c r="R56" i="28"/>
  <c r="Q56" i="28"/>
  <c r="P56" i="28"/>
  <c r="O56" i="28"/>
  <c r="N56" i="28"/>
  <c r="M56" i="28"/>
  <c r="L56" i="28"/>
  <c r="K56" i="28"/>
  <c r="Q55" i="28"/>
  <c r="P55" i="28"/>
  <c r="O55" i="28"/>
  <c r="N55" i="28"/>
  <c r="M55" i="28"/>
  <c r="L55" i="28"/>
  <c r="K55" i="28"/>
  <c r="Q54" i="28"/>
  <c r="P54" i="28"/>
  <c r="O54" i="28"/>
  <c r="N54" i="28"/>
  <c r="M54" i="28"/>
  <c r="L54" i="28"/>
  <c r="K54" i="28"/>
  <c r="Q53" i="28"/>
  <c r="P53" i="28"/>
  <c r="O53" i="28"/>
  <c r="N53" i="28"/>
  <c r="M53" i="28"/>
  <c r="L53" i="28"/>
  <c r="K53" i="28"/>
  <c r="R52" i="28"/>
  <c r="Q52" i="28"/>
  <c r="P52" i="28"/>
  <c r="O52" i="28"/>
  <c r="N52" i="28"/>
  <c r="M52" i="28"/>
  <c r="L52" i="28"/>
  <c r="K52" i="28"/>
  <c r="D52" i="28"/>
  <c r="R51" i="28"/>
  <c r="Q51" i="28"/>
  <c r="P51" i="28"/>
  <c r="O51" i="28"/>
  <c r="N51" i="28"/>
  <c r="M51" i="28"/>
  <c r="L51" i="28"/>
  <c r="K51" i="28"/>
  <c r="D51" i="28"/>
  <c r="R50" i="28"/>
  <c r="Q50" i="28"/>
  <c r="P50" i="28"/>
  <c r="O50" i="28"/>
  <c r="N50" i="28"/>
  <c r="M50" i="28"/>
  <c r="L50" i="28"/>
  <c r="K50" i="28"/>
  <c r="R49" i="28"/>
  <c r="Q49" i="28"/>
  <c r="P49" i="28"/>
  <c r="O49" i="28"/>
  <c r="N49" i="28"/>
  <c r="M49" i="28"/>
  <c r="L49" i="28"/>
  <c r="K49" i="28"/>
  <c r="E49" i="28"/>
  <c r="D49" i="28"/>
  <c r="Q48" i="28"/>
  <c r="P48" i="28"/>
  <c r="O48" i="28"/>
  <c r="N48" i="28"/>
  <c r="M48" i="28"/>
  <c r="L48" i="28"/>
  <c r="K48" i="28"/>
  <c r="D48" i="28"/>
  <c r="Q47" i="28"/>
  <c r="P47" i="28"/>
  <c r="O47" i="28"/>
  <c r="N47" i="28"/>
  <c r="M47" i="28"/>
  <c r="L47" i="28"/>
  <c r="K47" i="28"/>
  <c r="D47" i="28"/>
  <c r="J45" i="28"/>
  <c r="J44" i="28"/>
  <c r="D44" i="28"/>
  <c r="J43" i="28"/>
  <c r="D43" i="28"/>
  <c r="P39" i="28"/>
  <c r="O39" i="28"/>
  <c r="N39" i="28"/>
  <c r="M39" i="28"/>
  <c r="L39" i="28"/>
  <c r="J39" i="28"/>
  <c r="J38" i="28"/>
  <c r="J37" i="28"/>
  <c r="F37" i="28"/>
  <c r="D37" i="28"/>
  <c r="J36" i="28"/>
  <c r="D36" i="28"/>
  <c r="C36" i="28"/>
  <c r="J35" i="28"/>
  <c r="F35" i="28"/>
  <c r="C35" i="28"/>
  <c r="E33" i="28"/>
  <c r="D33" i="28"/>
  <c r="E32" i="28"/>
  <c r="D32" i="28"/>
  <c r="E31" i="28"/>
  <c r="D31" i="28"/>
  <c r="E30" i="28"/>
  <c r="D30" i="28"/>
  <c r="Q29" i="28"/>
  <c r="P29" i="28"/>
  <c r="O29" i="28"/>
  <c r="N29" i="28"/>
  <c r="M29" i="28"/>
  <c r="L29" i="28"/>
  <c r="K29" i="28"/>
  <c r="E29" i="28"/>
  <c r="D29" i="28"/>
  <c r="T28" i="28"/>
  <c r="Q28" i="28"/>
  <c r="P28" i="28"/>
  <c r="O28" i="28"/>
  <c r="N28" i="28"/>
  <c r="M28" i="28"/>
  <c r="L28" i="28"/>
  <c r="K28" i="28"/>
  <c r="T27" i="28"/>
  <c r="R27" i="28"/>
  <c r="E27" i="28"/>
  <c r="R26" i="28"/>
  <c r="Q26" i="28"/>
  <c r="P26" i="28"/>
  <c r="O26" i="28"/>
  <c r="N26" i="28"/>
  <c r="M26" i="28"/>
  <c r="L26" i="28"/>
  <c r="K26" i="28"/>
  <c r="R24" i="28"/>
  <c r="J24" i="28"/>
  <c r="R22" i="28"/>
  <c r="E22" i="28"/>
  <c r="S20" i="28"/>
  <c r="R20" i="28"/>
  <c r="Q20" i="28"/>
  <c r="D20" i="28"/>
  <c r="R19" i="28"/>
  <c r="Q19" i="28"/>
  <c r="R18" i="28"/>
  <c r="Q18" i="28"/>
  <c r="D18" i="28"/>
  <c r="V11" i="28"/>
  <c r="S11" i="28"/>
  <c r="R11" i="28"/>
  <c r="F11" i="28"/>
  <c r="D11" i="28"/>
  <c r="V10" i="28"/>
  <c r="S10" i="28"/>
  <c r="R10" i="28"/>
  <c r="F10" i="28"/>
  <c r="D10" i="28"/>
  <c r="V9" i="28"/>
  <c r="S9" i="28"/>
  <c r="R9" i="28"/>
  <c r="J9" i="28"/>
  <c r="F9" i="28"/>
  <c r="D9" i="28"/>
  <c r="V8" i="28"/>
  <c r="S8" i="28"/>
  <c r="R8" i="28"/>
  <c r="J8" i="28"/>
  <c r="F8" i="28"/>
  <c r="X7" i="28"/>
  <c r="V7" i="28"/>
  <c r="F7" i="28"/>
  <c r="D7" i="28"/>
  <c r="D54" i="12"/>
  <c r="D53" i="12"/>
  <c r="D49" i="12"/>
  <c r="D48" i="12"/>
  <c r="D47" i="12"/>
  <c r="D46" i="12"/>
  <c r="D45" i="12"/>
  <c r="D36" i="12"/>
  <c r="D34" i="12"/>
</calcChain>
</file>

<file path=xl/connections.xml><?xml version="1.0" encoding="utf-8"?>
<connections xmlns="http://schemas.openxmlformats.org/spreadsheetml/2006/main">
  <connection id="1" name="capital one - phelan" type="6" refreshedVersion="5" background="1" saveData="1">
    <textPr codePage="437" sourceFile="H:\LOAD CALC\capital one - phelan.txt" tab="0" comma="1">
      <textFields count="13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<sst xmlns="http://schemas.openxmlformats.org/spreadsheetml/2006/main" count="878" uniqueCount="516">
  <si>
    <r>
      <t xml:space="preserve">The outdoor air rate, </t>
    </r>
    <r>
      <rPr>
        <i/>
        <sz val="10"/>
        <rFont val="Arial"/>
        <family val="2"/>
      </rPr>
      <t>Vot</t>
    </r>
    <r>
      <rPr>
        <sz val="10"/>
        <rFont val="Arial"/>
        <family val="2"/>
      </rPr>
      <t>, divided by the net occupiable floor area, As</t>
    </r>
  </si>
  <si>
    <r>
      <t xml:space="preserve">The outdoor air rate, </t>
    </r>
    <r>
      <rPr>
        <i/>
        <sz val="10"/>
        <rFont val="Arial"/>
        <family val="2"/>
      </rPr>
      <t>Vot</t>
    </r>
    <r>
      <rPr>
        <sz val="10"/>
        <rFont val="Arial"/>
        <family val="2"/>
      </rPr>
      <t>, divided by the design primary supply air rate, Vpsd</t>
    </r>
  </si>
  <si>
    <t>OA fraction required in the supply air to the zone</t>
  </si>
  <si>
    <t>OA fraction required in the primary air to the zone</t>
  </si>
  <si>
    <t>Frac. of local recirc. air that is representative of system RA</t>
  </si>
  <si>
    <t>Occupancy Category</t>
  </si>
  <si>
    <t>Select from pull-down list:</t>
  </si>
  <si>
    <t>Select from pull-down list or leave blank if N/A:</t>
  </si>
  <si>
    <t xml:space="preserve">System Ventilation Efficiency </t>
  </si>
  <si>
    <t>System primary supply air flow at conditioned analyzed</t>
  </si>
  <si>
    <t>Uncorrected OA intake flow req'd for system</t>
  </si>
  <si>
    <t>Zone outdoor airflow</t>
  </si>
  <si>
    <t>Breathing zone outdoor airflow</t>
  </si>
  <si>
    <t>Area outdoor air rate</t>
  </si>
  <si>
    <t>People outdoor air rate</t>
  </si>
  <si>
    <t>System Ventilation Efficiency (Table 6.3 Method)</t>
  </si>
  <si>
    <t>The system ventilation efficiency</t>
  </si>
  <si>
    <t>The following inputs only apply for systems with economizers operating in cold weather (heating design) conditions</t>
  </si>
  <si>
    <t>The outdoor air temperature at the conditioned being analyzed, typically the heating design temperature.</t>
  </si>
  <si>
    <t>The primary supply air temperature setpoint at the conditioned being analyzed.  If the supply air temperature is reset in cold weather, enter the reset temperature.</t>
  </si>
  <si>
    <t>The return air temperature at the conditioned being analyzed</t>
  </si>
  <si>
    <t>Fan heat gain across the supply air fan (=fan BHP*2545/1.08/Vpsd)</t>
  </si>
  <si>
    <t>Vdzd</t>
  </si>
  <si>
    <t>Fan heat gain across the return air fan (=fan BHP*2545/1.08/Vr)</t>
  </si>
  <si>
    <t>The design outdoor air intake rate required for the system</t>
  </si>
  <si>
    <t xml:space="preserve">This spreadsheet is primarily intended to be used to determine the ventilation rate for ventilation systems that serve multiple zones and that recirculate air from one or more zones to other zones.  Typical examples are variable air volume (VAV) systems.  The spreadsheet may also be used for all other ventilation system types as well - it is not limited to multiple zone systems.  </t>
  </si>
  <si>
    <t>Bars, cocktail lounges</t>
  </si>
  <si>
    <t>Corridors</t>
  </si>
  <si>
    <t>Storage rooms</t>
  </si>
  <si>
    <t>Barracks sleeping areas</t>
  </si>
  <si>
    <t>Reception areas</t>
  </si>
  <si>
    <t>Main entry lobbies</t>
  </si>
  <si>
    <t>Computer (not printing)</t>
  </si>
  <si>
    <t>Pharmacy (prep. area)</t>
  </si>
  <si>
    <t>Photo studios</t>
  </si>
  <si>
    <t>Transportation waiting</t>
  </si>
  <si>
    <t>Warehouses</t>
  </si>
  <si>
    <t>Auditorium seating area</t>
  </si>
  <si>
    <t>Courtrooms</t>
  </si>
  <si>
    <t>Legislative chambers</t>
  </si>
  <si>
    <t>Libraries</t>
  </si>
  <si>
    <t>Lobbies</t>
  </si>
  <si>
    <t>Sales (except as below)</t>
  </si>
  <si>
    <t>Mall common areas</t>
  </si>
  <si>
    <t>Beauty and nail salons</t>
  </si>
  <si>
    <t>Pet shops (animal areas)</t>
  </si>
  <si>
    <t>Supermarket</t>
  </si>
  <si>
    <t>Office space</t>
  </si>
  <si>
    <t>Sports arena (play area)</t>
  </si>
  <si>
    <t>Gym, stadium (play area)</t>
  </si>
  <si>
    <t>Vot</t>
  </si>
  <si>
    <t>Fa</t>
  </si>
  <si>
    <t>Fb</t>
  </si>
  <si>
    <t>Fc</t>
  </si>
  <si>
    <t>Vdz</t>
  </si>
  <si>
    <t>Ep</t>
  </si>
  <si>
    <t>Xs</t>
  </si>
  <si>
    <t>Voz</t>
  </si>
  <si>
    <t>Ev</t>
  </si>
  <si>
    <t>Spectator areas</t>
  </si>
  <si>
    <t>Swimming (pool &amp; deck)</t>
  </si>
  <si>
    <t>Bowling alley (seating)</t>
  </si>
  <si>
    <t>Gambling casinos</t>
  </si>
  <si>
    <t>Game arcades</t>
  </si>
  <si>
    <t>Stages, studios</t>
  </si>
  <si>
    <t>Ps</t>
  </si>
  <si>
    <t>Cell</t>
  </si>
  <si>
    <t>Guard stations</t>
  </si>
  <si>
    <t>Booking/waiting</t>
  </si>
  <si>
    <t>Daycare (through age 4)</t>
  </si>
  <si>
    <t>Classrooms (age 9 plus)</t>
  </si>
  <si>
    <t>Art classroom</t>
  </si>
  <si>
    <t>Science laboratories</t>
  </si>
  <si>
    <t>Wood/metal shop</t>
  </si>
  <si>
    <t>Er</t>
  </si>
  <si>
    <t>Ez</t>
  </si>
  <si>
    <t>Vou</t>
  </si>
  <si>
    <t>Vps</t>
  </si>
  <si>
    <t>Az</t>
  </si>
  <si>
    <t>Pz</t>
  </si>
  <si>
    <t>Restaurant dining rooms</t>
  </si>
  <si>
    <t>SI</t>
  </si>
  <si>
    <t>System</t>
  </si>
  <si>
    <t>Inputs for System</t>
  </si>
  <si>
    <t>Floor area served by system</t>
  </si>
  <si>
    <t>As</t>
  </si>
  <si>
    <t>P</t>
  </si>
  <si>
    <t>Design primary supply fan airflow rate</t>
  </si>
  <si>
    <t>%</t>
  </si>
  <si>
    <t>Ras</t>
  </si>
  <si>
    <t>Rps</t>
  </si>
  <si>
    <t>Inputs for Potentially Critical zones</t>
  </si>
  <si>
    <t>Zone title turns purple italic for critical zone(s)</t>
  </si>
  <si>
    <t>Floor Area of zone</t>
  </si>
  <si>
    <t>Total supply air to zone (at condition being analyzed)</t>
  </si>
  <si>
    <t>=</t>
  </si>
  <si>
    <t>Initial Calculations for the System as a whole</t>
  </si>
  <si>
    <t>Uncorrected OA req'd as a fraction of primary SA</t>
  </si>
  <si>
    <t>Initial Calculations for individual zones</t>
  </si>
  <si>
    <t>Vbz</t>
  </si>
  <si>
    <t>Fraction of zone supply not directly recirc. from zone</t>
  </si>
  <si>
    <t>Fraction of zone supply from fully mixed primary air</t>
  </si>
  <si>
    <t>Fraction of zone OA not directly recirc. from zone</t>
  </si>
  <si>
    <t>1-(1-Ez)(1-Ep)(1-Er)</t>
  </si>
  <si>
    <t>System Ventilation Efficiency</t>
  </si>
  <si>
    <t>Evz</t>
  </si>
  <si>
    <t>Value from Table 6.3</t>
  </si>
  <si>
    <t>Minimum outdoor air intake airflow</t>
  </si>
  <si>
    <t>Outdoor Air Intake Flow required to System</t>
  </si>
  <si>
    <t>Vou / Ev</t>
  </si>
  <si>
    <t>OA intake req'd as a fraction of primary SA</t>
  </si>
  <si>
    <t>Y</t>
  </si>
  <si>
    <t>Vot / Vps</t>
  </si>
  <si>
    <t>OA Temp at which Min OA provides all cooling</t>
  </si>
  <si>
    <t>Supply Air Temperature</t>
  </si>
  <si>
    <t>Tp</t>
  </si>
  <si>
    <t>Return Air Temperature</t>
  </si>
  <si>
    <t>Tr</t>
  </si>
  <si>
    <t>Supply Fan Heat Gain</t>
  </si>
  <si>
    <t>dTsf</t>
  </si>
  <si>
    <t>Return Fan Heat Gain</t>
  </si>
  <si>
    <t>dTrf</t>
  </si>
  <si>
    <t>OAT below which OA Intake flow is @ minimum</t>
  </si>
  <si>
    <t>{(Tp-dTsf)-(1-Y)*(Tr+dTrf)}/Y</t>
  </si>
  <si>
    <t>Name</t>
  </si>
  <si>
    <t>Units</t>
  </si>
  <si>
    <t>Operating Condition Description:</t>
  </si>
  <si>
    <t>Building:</t>
  </si>
  <si>
    <t>System Tag/Name:</t>
  </si>
  <si>
    <t>Inputs for Operating Condition Analyzed</t>
  </si>
  <si>
    <t>OA req'd per unit area for system (Weighted average)</t>
  </si>
  <si>
    <t>OA req'd per person for system area  (Weighted average)</t>
  </si>
  <si>
    <t>Hidden stuff for data validation</t>
  </si>
  <si>
    <t>Units (select from pull-down list)</t>
  </si>
  <si>
    <t>Zone Name</t>
  </si>
  <si>
    <t xml:space="preserve">Design population of zone </t>
  </si>
  <si>
    <t>Yes</t>
  </si>
  <si>
    <t>No</t>
  </si>
  <si>
    <t>Zone air distribution effectiveness at conditioned analyzed</t>
  </si>
  <si>
    <t>Inputs for Systems with Outdoor Air Economizers</t>
  </si>
  <si>
    <t xml:space="preserve">Space type </t>
  </si>
  <si>
    <t>Select from pull-down list</t>
  </si>
  <si>
    <t xml:space="preserve">Outdoor air Temperature </t>
  </si>
  <si>
    <t>Toa</t>
  </si>
  <si>
    <t>Does system have Outdoor Air Economizer</t>
  </si>
  <si>
    <t>Results</t>
  </si>
  <si>
    <t>Outdoor air intake required for system</t>
  </si>
  <si>
    <t>Outdoor air as a % of primary supply air</t>
  </si>
  <si>
    <t>Detailed Calculations</t>
  </si>
  <si>
    <t>Voz / Vdz</t>
  </si>
  <si>
    <t>Design total supply to zone (primary plus local recirculated)</t>
  </si>
  <si>
    <t>Primary air fraction of supply air at conditioned analyzed</t>
  </si>
  <si>
    <t>IP</t>
  </si>
  <si>
    <t>Percent of total design airflow rate at conditioned analyzed</t>
  </si>
  <si>
    <t>Zone Tag</t>
  </si>
  <si>
    <t>average</t>
  </si>
  <si>
    <t>Outdoor air per unit floor area</t>
  </si>
  <si>
    <t>Lecture classroom</t>
  </si>
  <si>
    <t>Lecture hall (fixed seats)</t>
  </si>
  <si>
    <t>Computer lab</t>
  </si>
  <si>
    <t>Media center</t>
  </si>
  <si>
    <t>Multi-use assembly</t>
  </si>
  <si>
    <t>Museums (children’s)</t>
  </si>
  <si>
    <t>Coin-operated laundries</t>
  </si>
  <si>
    <t>Default Occupant Density</t>
  </si>
  <si>
    <t>(default value listed; may be overridden)</t>
  </si>
  <si>
    <t>Directions for using the 62MZCalc spreadsheet</t>
  </si>
  <si>
    <t>Describe the design condition being analyzed.  At least the peak cooling and peak heating condition must be evaluated</t>
  </si>
  <si>
    <t>sf or sm</t>
  </si>
  <si>
    <t>cfm or l/s</t>
  </si>
  <si>
    <t>cfm/sf or l/s/sm</t>
  </si>
  <si>
    <t>cfm/p or l/s/p</t>
  </si>
  <si>
    <t>Description</t>
  </si>
  <si>
    <t>Building name or description</t>
  </si>
  <si>
    <t>Ventilation system unit tag, such as AHU-1</t>
  </si>
  <si>
    <t>Choose either IP (inch-pound) or SI (Systeme Internationale) from a pull-down list</t>
  </si>
  <si>
    <t>Check Figures</t>
  </si>
  <si>
    <t>total P</t>
  </si>
  <si>
    <t>Totals/averages</t>
  </si>
  <si>
    <t>Vpsd</t>
  </si>
  <si>
    <t>Choose either Yes or No from a pull-down list.  This switch is used to evaluate if in the heating condition the outdoor air rate provided by the economizer controls would exceed the minimum outdoor air required.  If so, a flag will indicate that the analyzed condition is not "critical," meaning it will not fix the minimum outdoor air rate.</t>
  </si>
  <si>
    <t>Ventilation zone tag, typically the terminal unit such as VAV-1.  This cell turns purple italic for critical zone(s) (those that are determining the outdoor air rate).</t>
  </si>
  <si>
    <t>Zone net occupiable floor area</t>
  </si>
  <si>
    <t>The design population of the zone.  This will default to the number of people calculated using the default occupant density in Table 6-1.  It may be overridden to the actual number of people expected to occupy the zone, which in turn may be reduced using time averaging where applicable.</t>
  </si>
  <si>
    <t xml:space="preserve">Induction Terminal Unit, Dual Fan Dual Duct or Transfer Fan? </t>
  </si>
  <si>
    <t xml:space="preserve">Select from pull-down list either ITU (induction terminal unit, such as a series or parallel fan-powered mixing box or system-powered induction unit, which can supply air to the zone from a ceiling return air plenum or from another ventilated space), DFDD (dual fan dual duct system, which in addition to the primary ventilation cooling fan includes a parallel heating fan that can supply recirculated air to the zone), or TF (transfer fan, which is a fan that supplies or induces transfer air into the room from another ventilated space).  If none of these apply (such as single duct systems or single fan dual duct systems), leave this cell blank (or delete the entry in the cell).  </t>
  </si>
  <si>
    <t>The design total rate of air supplied to the space including primary air (air from the AHU that has the outdoor air intake) and air transferred or recirculated from other spaces.  Examples of transfer air include: air induced from adjacent spaces with an exhaust fan or induction terminal unit, air supplied by a terminal fan (e.g. fan-powered mixing box), or air supplied by the heating fan of a dual duct system.</t>
  </si>
  <si>
    <t>Zd</t>
  </si>
  <si>
    <t>Voz / Vpz</t>
  </si>
  <si>
    <t>Maximum Zd</t>
  </si>
  <si>
    <t>Outdoor air as a % of design primary supply air</t>
  </si>
  <si>
    <t>Ypd</t>
  </si>
  <si>
    <t>Outdoor air per person served by system (including diversity)</t>
  </si>
  <si>
    <t>cfm/p</t>
  </si>
  <si>
    <t>cfm</t>
  </si>
  <si>
    <t>Percent of design</t>
  </si>
  <si>
    <t>Primary airflow rate to zones</t>
  </si>
  <si>
    <t xml:space="preserve">The system building area component rate.  If this differs among zones, weight the area component for each zone by the area of each zone.  The weighted average of zones entered below is shown in the Check Figure column in this row to the right of the last zone and is the default value entered in this cell.  However, not all zones must be analyzed so this average may not be equal to Ras.  </t>
  </si>
  <si>
    <t xml:space="preserve">The system occupant component rate.  If this differs among zones, weight the occupant component for each zone by the area of each zone.  The weighted average of zones entered below is shown in the Check Figure column in this row to the right of the last zone and is the default value entered in this cell.  However, not all zones must be analyzed so this average may not be equal to Rps.  </t>
  </si>
  <si>
    <t>Ez Table</t>
  </si>
  <si>
    <t xml:space="preserve"> </t>
  </si>
  <si>
    <t>CS                   Ceiling supply of cool air</t>
  </si>
  <si>
    <t>CSCRH            Ceiling supply of warm air 15°F (8°C) or more above space temperature and ceiling return.</t>
  </si>
  <si>
    <t>CSCRW           Ceiling supply of warm air less than 15°F (8°C) above space temperature and ceiling return provided that the 150 fpm (0.8 m/s) supply air jet reaches to within 4.5 ft (1.4 m) of floor level. Note: For lower velocity supply air, Ez = 0.8.</t>
  </si>
  <si>
    <t>CSFR               Ceiling supply of warm air and floor return</t>
  </si>
  <si>
    <t>FSCR               Floor supply of cool air and ceiling return provided that the 150 fpm (0.8 m/s) supply jet reaches 4.5 ft (1.4 m) or more above the floor. Note: Most underfloor air distribution systems comply with this proviso.</t>
  </si>
  <si>
    <t>FSCR LV         Floor supply of cool air and ceiling return, provided lowvelocity displacement ventilation achieves unidirectional flow and thermal stratification</t>
  </si>
  <si>
    <t>FSCRW           Floor supply of warm air and ceiling return</t>
  </si>
  <si>
    <t>FSFR                Floor supply of warm air and floor return</t>
  </si>
  <si>
    <t>MUEX               Makeup supply drawn in near to the exhaust and/or return location</t>
  </si>
  <si>
    <t>MU--EX           Makeup supply drawn in on the opposite side of the room from the exhaust and/or return</t>
  </si>
  <si>
    <t>CS</t>
  </si>
  <si>
    <t>CSCRH</t>
  </si>
  <si>
    <t>CSCRW</t>
  </si>
  <si>
    <t>CSFR</t>
  </si>
  <si>
    <t>FSCR</t>
  </si>
  <si>
    <t>FSCR LV</t>
  </si>
  <si>
    <t>FSCRW</t>
  </si>
  <si>
    <t>FSFR</t>
  </si>
  <si>
    <t>MUEX</t>
  </si>
  <si>
    <t>MU--EX</t>
  </si>
  <si>
    <t>Time-averaging</t>
  </si>
  <si>
    <t>Time period over which averaging can take place</t>
  </si>
  <si>
    <t>Time period with high occupancy</t>
  </si>
  <si>
    <t>T</t>
  </si>
  <si>
    <t>min</t>
  </si>
  <si>
    <t>3 v / Vbz</t>
  </si>
  <si>
    <t>Th</t>
  </si>
  <si>
    <t>Room height</t>
  </si>
  <si>
    <t>h</t>
  </si>
  <si>
    <t>ft</t>
  </si>
  <si>
    <t>Error flag</t>
  </si>
  <si>
    <t>Error - sum of all values above will show error</t>
  </si>
  <si>
    <t>cell used for string conversion</t>
  </si>
  <si>
    <t>Show Values per Zone Button</t>
  </si>
  <si>
    <r>
      <t xml:space="preserve">The spreadsheet is initially configured for 2 zones.  If additional zones are to be evaluated, click the ADD ZONE button.  Do not add zones by manually inserting columns since it may result in </t>
    </r>
    <r>
      <rPr>
        <sz val="10"/>
        <rFont val="Geneva"/>
      </rPr>
      <t>calculation range errors.</t>
    </r>
  </si>
  <si>
    <t>Air distribution type at conditioned analyzed</t>
  </si>
  <si>
    <t>Zone Ventilation Efficiency (App A Method)</t>
  </si>
  <si>
    <t>System Ventilation Efficiency (App A Method)</t>
  </si>
  <si>
    <t>Outdoor Air Intake Flow required to System (Table 6.3 Method)</t>
  </si>
  <si>
    <t>OA intake req'd as a fraction of primary SA (Table 6.3 Method)</t>
  </si>
  <si>
    <t>Description of ventilation zone.  This cell turns purple italic for critical zone(s) (those that are determining the outdoor air rate).  Note that a ventilation zone may not be the same as a thermal zone (see Standard for definition).</t>
  </si>
  <si>
    <t>Custom            Air Change Effectiveness from ASHRAE Standard 129</t>
  </si>
  <si>
    <t>This button displays each zone input values as well as resulting system values.  It provides an optional way to enter and view data and is particularly handy when there are many zones</t>
  </si>
  <si>
    <t>Temporary Use:</t>
  </si>
  <si>
    <t>Zone names that are in use, for the column deletion routine</t>
  </si>
  <si>
    <t>The names in this list get pasted from the main spreadsheet, and transposed to go horizontal-&gt; vertical</t>
  </si>
  <si>
    <t>The resulting range gets copied into the delete dialog</t>
  </si>
  <si>
    <t>Dayroom</t>
  </si>
  <si>
    <t>Daycare sickroom</t>
  </si>
  <si>
    <t>Classrooms (ages 5–8)</t>
  </si>
  <si>
    <t>Music/theater/dance</t>
  </si>
  <si>
    <t>Cafeteria/fast-food dining</t>
  </si>
  <si>
    <t>Break rooms</t>
  </si>
  <si>
    <t>Coffee stations</t>
  </si>
  <si>
    <t>Conference/meeting</t>
  </si>
  <si>
    <t>Bedroom/living room</t>
  </si>
  <si>
    <t>Laundry rooms, central</t>
  </si>
  <si>
    <t>Lobbies/prefunction</t>
  </si>
  <si>
    <t>Multipurpose assembly</t>
  </si>
  <si>
    <t>Telephone/data entry</t>
  </si>
  <si>
    <t>Bank vaults/safe deposit</t>
  </si>
  <si>
    <t>Electrical equipment rooms</t>
  </si>
  <si>
    <t>Elevator machine rooms</t>
  </si>
  <si>
    <t>Shipping/receiving</t>
  </si>
  <si>
    <t>Telephone closets</t>
  </si>
  <si>
    <t>Places of religious worship</t>
  </si>
  <si>
    <t>Museums/galleries</t>
  </si>
  <si>
    <t>Dwelling unit</t>
  </si>
  <si>
    <t>Common corridors</t>
  </si>
  <si>
    <t>Barbershop</t>
  </si>
  <si>
    <t>Disco/dance floors</t>
  </si>
  <si>
    <t>Health club/aerobics room</t>
  </si>
  <si>
    <t>Health club/weight rooms</t>
  </si>
  <si>
    <t>University/college laboratories</t>
  </si>
  <si>
    <t>Laundry rooms within dwelling units</t>
  </si>
  <si>
    <t>Banks or bank lobbies</t>
  </si>
  <si>
    <t>General manufacturing (excludes heavy industrial and processes using chemicals)</t>
  </si>
  <si>
    <t>Kitchen (cooking)</t>
  </si>
  <si>
    <t>Occupiable storage rooms for liquids or gels</t>
  </si>
  <si>
    <t>Occupiable storage rooms for dry materials</t>
  </si>
  <si>
    <t>Sorting, packing, light assembly</t>
  </si>
  <si>
    <t>Standard 62.1-2010 Outdoor Air Rates (Table 6-1)</t>
  </si>
  <si>
    <t>Ra</t>
  </si>
  <si>
    <t>Rp</t>
  </si>
  <si>
    <t>Rp Pz + Ra Az</t>
  </si>
  <si>
    <t>Zpz</t>
  </si>
  <si>
    <t>Vpz</t>
  </si>
  <si>
    <t>Vdz Ep</t>
  </si>
  <si>
    <t>(Fa+FbXs-FcZpzEp)/Fa</t>
  </si>
  <si>
    <t>Primary airflow to zone (at condition being analyzed)</t>
  </si>
  <si>
    <r>
      <t>Vot</t>
    </r>
    <r>
      <rPr>
        <sz val="10"/>
        <rFont val="Arial"/>
        <family val="2"/>
      </rPr>
      <t>/As</t>
    </r>
  </si>
  <si>
    <r>
      <t>Vot</t>
    </r>
    <r>
      <rPr>
        <sz val="10"/>
        <rFont val="Arial"/>
        <family val="2"/>
      </rPr>
      <t>/Ps</t>
    </r>
  </si>
  <si>
    <r>
      <t xml:space="preserve">Rps </t>
    </r>
    <r>
      <rPr>
        <i/>
        <sz val="10"/>
        <rFont val="Arial"/>
        <family val="2"/>
      </rPr>
      <t>Ps</t>
    </r>
    <r>
      <rPr>
        <sz val="10"/>
        <rFont val="Arial"/>
        <family val="2"/>
      </rPr>
      <t xml:space="preserve"> + Ras As</t>
    </r>
  </si>
  <si>
    <r>
      <t>Vou</t>
    </r>
    <r>
      <rPr>
        <sz val="10"/>
        <rFont val="Arial"/>
        <family val="2"/>
      </rPr>
      <t xml:space="preserve"> / </t>
    </r>
    <r>
      <rPr>
        <i/>
        <sz val="10"/>
        <rFont val="Arial"/>
        <family val="2"/>
      </rPr>
      <t>Vps</t>
    </r>
  </si>
  <si>
    <t>Vbz / Ez</t>
  </si>
  <si>
    <t>Ep + (1-Ep) Er</t>
  </si>
  <si>
    <r>
      <t>min (</t>
    </r>
    <r>
      <rPr>
        <i/>
        <sz val="10"/>
        <rFont val="Arial"/>
        <family val="2"/>
      </rPr>
      <t>Evz</t>
    </r>
    <r>
      <rPr>
        <sz val="10"/>
        <rFont val="Arial"/>
        <family val="2"/>
      </rPr>
      <t>)</t>
    </r>
  </si>
  <si>
    <r>
      <t xml:space="preserve">Maximum </t>
    </r>
    <r>
      <rPr>
        <i/>
        <sz val="10"/>
        <rFont val="Arial"/>
        <family val="2"/>
      </rPr>
      <t>Zpz</t>
    </r>
  </si>
  <si>
    <r>
      <t>Er</t>
    </r>
    <r>
      <rPr>
        <sz val="10"/>
        <rFont val="Arial"/>
        <family val="2"/>
      </rPr>
      <t xml:space="preserve"> for ITU/TF</t>
    </r>
  </si>
  <si>
    <r>
      <t>Ep</t>
    </r>
    <r>
      <rPr>
        <sz val="10"/>
        <rFont val="Arial"/>
        <family val="2"/>
      </rPr>
      <t xml:space="preserve"> for ITU/DFDD/TF</t>
    </r>
  </si>
  <si>
    <r>
      <t xml:space="preserve">The spreadsheet is initially configured with one worksheet for </t>
    </r>
    <r>
      <rPr>
        <i/>
        <sz val="10"/>
        <rFont val="Arial"/>
        <family val="2"/>
      </rPr>
      <t>Vot</t>
    </r>
    <r>
      <rPr>
        <sz val="10"/>
        <rFont val="Arial"/>
        <family val="2"/>
      </rPr>
      <t xml:space="preserve"> Calculations.  To examine different scenarios (e.g. design cooling and design heating), enter all data for one condition then copy this file to a new file.  (Copying the worksheet into a new worksheet in the same file is also acceptable but macro buttons will only work in the original worksheet).  </t>
    </r>
  </si>
  <si>
    <t>Note: This spreadsheet relies on Visual Basic macros in order to function properly. Be sure to enable macros. In older versions of Excel, go to Tools --&gt; Macro --&gt; Security. In Excel 2007, go to Office Button --&gt; Excel Options --&gt; Trust Center --&gt; Trust Center Settings --&gt; Macro Settings. Also note that Excel 2007 does not directly support the conversion of macros that were written in earlier versions of Excel. A VBA Converter Pack may be required to use this spreadsheet in Excel 2007. See www.microsoft.com for more information.</t>
  </si>
  <si>
    <r>
      <t xml:space="preserve">The ratio of </t>
    </r>
    <r>
      <rPr>
        <i/>
        <sz val="10"/>
        <rFont val="Arial"/>
        <family val="2"/>
      </rPr>
      <t>Vpz</t>
    </r>
    <r>
      <rPr>
        <sz val="10"/>
        <rFont val="Arial"/>
        <family val="2"/>
      </rPr>
      <t xml:space="preserve"> to </t>
    </r>
    <r>
      <rPr>
        <i/>
        <sz val="10"/>
        <rFont val="Arial"/>
        <family val="2"/>
      </rPr>
      <t>Vdz</t>
    </r>
    <r>
      <rPr>
        <sz val="10"/>
        <rFont val="Arial"/>
        <family val="2"/>
      </rPr>
      <t xml:space="preserve">.  </t>
    </r>
    <r>
      <rPr>
        <i/>
        <sz val="10"/>
        <rFont val="Arial"/>
        <family val="2"/>
      </rPr>
      <t>Vpz</t>
    </r>
    <r>
      <rPr>
        <sz val="10"/>
        <rFont val="Arial"/>
        <family val="2"/>
      </rPr>
      <t xml:space="preserve"> is the primary airflow supplied to the zone from the air handling unit at which the outdoor air intake is located. It does not include air transferred or air recirculated to the zone by other means.  For VAV-system design purposes, </t>
    </r>
    <r>
      <rPr>
        <i/>
        <sz val="10"/>
        <rFont val="Arial"/>
        <family val="2"/>
      </rPr>
      <t>Vpz</t>
    </r>
    <r>
      <rPr>
        <sz val="10"/>
        <rFont val="Arial"/>
        <family val="2"/>
      </rPr>
      <t xml:space="preserve"> is the lowest zone primary airflow value expected at the condition analyzed. 
For a single duct system, this value is 1.0.  For a fan-powered mixing box system, </t>
    </r>
    <r>
      <rPr>
        <i/>
        <sz val="10"/>
        <rFont val="Arial"/>
        <family val="2"/>
      </rPr>
      <t>Vpz</t>
    </r>
    <r>
      <rPr>
        <sz val="10"/>
        <rFont val="Arial"/>
        <family val="2"/>
      </rPr>
      <t xml:space="preserve"> is the supply air rate through the VAV damper but does not include the air supplied to the space by the terminal fan that is drawn from the return air plenum.  For a dual fan dual duct terminal unit, </t>
    </r>
    <r>
      <rPr>
        <i/>
        <sz val="10"/>
        <rFont val="Arial"/>
        <family val="2"/>
      </rPr>
      <t>Vpz</t>
    </r>
    <r>
      <rPr>
        <sz val="10"/>
        <rFont val="Arial"/>
        <family val="2"/>
      </rPr>
      <t xml:space="preserve"> is the cold duct air but does not include air supplied by the heating fan.</t>
    </r>
  </si>
  <si>
    <t>Percent increase in Vbz over minimum required</t>
  </si>
  <si>
    <t>Population of area served by system</t>
  </si>
  <si>
    <t>D</t>
  </si>
  <si>
    <t>Diversity</t>
  </si>
  <si>
    <t>Default totals/averages</t>
  </si>
  <si>
    <t>The total floor area served by the system. The total of zones entered below is shown to the right of the last zone and it is entered here as a default. However, not all zones must be analyzed so this total may not be equal to As. The user should override the default value if not all zones are analyzed.</t>
  </si>
  <si>
    <r>
      <t xml:space="preserve">This value increases breathing zone ventilation as a percentage over the minimum required by the standard. For example, to calculate the ventilation needed to meet the requirements of </t>
    </r>
    <r>
      <rPr>
        <i/>
        <sz val="10"/>
        <rFont val="Arial"/>
        <family val="2"/>
      </rPr>
      <t>LEED Indoor Environmental Quality (EQ) Credit 2: Increased Ventilation</t>
    </r>
    <r>
      <rPr>
        <sz val="10"/>
        <rFont val="Arial"/>
        <family val="2"/>
      </rPr>
      <t>, enter a value of 30% in this field.</t>
    </r>
  </si>
  <si>
    <r>
      <t>Rp</t>
    </r>
    <r>
      <rPr>
        <b/>
        <sz val="9"/>
        <rFont val="Arial"/>
        <family val="2"/>
      </rPr>
      <t xml:space="preserve"> (cfm/per)</t>
    </r>
  </si>
  <si>
    <r>
      <t>Ra</t>
    </r>
    <r>
      <rPr>
        <b/>
        <sz val="9"/>
        <rFont val="Arial"/>
        <family val="2"/>
      </rPr>
      <t xml:space="preserve"> (cfm/ft2)</t>
    </r>
  </si>
  <si>
    <r>
      <t>Rp</t>
    </r>
    <r>
      <rPr>
        <b/>
        <sz val="9"/>
        <rFont val="Arial"/>
        <family val="2"/>
      </rPr>
      <t xml:space="preserve">
(L/s-per)</t>
    </r>
  </si>
  <si>
    <r>
      <t>Ra</t>
    </r>
    <r>
      <rPr>
        <b/>
        <sz val="9"/>
        <rFont val="Arial"/>
        <family val="2"/>
      </rPr>
      <t xml:space="preserve"> (L/s-m2)</t>
    </r>
  </si>
  <si>
    <r>
      <t>#/1000 ft</t>
    </r>
    <r>
      <rPr>
        <b/>
        <vertAlign val="superscript"/>
        <sz val="9"/>
        <rFont val="Arial"/>
        <family val="2"/>
      </rPr>
      <t xml:space="preserve">2 </t>
    </r>
    <r>
      <rPr>
        <b/>
        <sz val="9"/>
        <rFont val="Arial"/>
        <family val="2"/>
      </rPr>
      <t>(#/100 m</t>
    </r>
    <r>
      <rPr>
        <b/>
        <vertAlign val="superscript"/>
        <sz val="9"/>
        <rFont val="Arial"/>
        <family val="2"/>
      </rPr>
      <t>2)</t>
    </r>
  </si>
  <si>
    <t>Extra fields to add additional occupancy categories that may be established by new addenda to the standard.</t>
  </si>
  <si>
    <t>Select an occupancy category from a pull-down list.  The Categories are as listed in Table 6-1. Additional rows at the bottom of the table may be used to add new occupancy categories that are established by addenda to the standard.</t>
  </si>
  <si>
    <t>w/o diversity</t>
  </si>
  <si>
    <t>w/ diversity</t>
  </si>
  <si>
    <t>Ds</t>
  </si>
  <si>
    <t>May need to manually edit Ds:</t>
  </si>
  <si>
    <r>
      <t xml:space="preserve">Descriptions of each input variable on the "Vot Calculation" tab are listed below. Variables shown in </t>
    </r>
    <r>
      <rPr>
        <i/>
        <sz val="10"/>
        <rFont val="Arial"/>
        <family val="2"/>
      </rPr>
      <t>italics</t>
    </r>
    <r>
      <rPr>
        <sz val="10"/>
        <rFont val="Arial"/>
        <family val="2"/>
      </rPr>
      <t xml:space="preserve"> are defined in Standard 62.1-2010. Other variables are used here for convenience and clarity but are not officially defined in the standard. </t>
    </r>
  </si>
  <si>
    <t>Editable fields on the "Vot Calculation" are highlighted in yellow.</t>
  </si>
  <si>
    <r>
      <t xml:space="preserve">This spreadsheet is easier to use if all zones served by the system are entered -- critical zones are then determined automatically and the spreadsheet automatically determines system level inputs by summing values for the zones.  However, both the spreadsheet and the Standard allow the user to enter </t>
    </r>
    <r>
      <rPr>
        <u/>
        <sz val="10"/>
        <rFont val="Arial"/>
        <family val="2"/>
      </rPr>
      <t>only</t>
    </r>
    <r>
      <rPr>
        <sz val="10"/>
        <rFont val="Arial"/>
        <family val="2"/>
      </rPr>
      <t xml:space="preserve"> those zones that are anticipated to be the critical zones under the operating scenarios to be analyzed.  In this case, the user must override system level inputs as described below.</t>
    </r>
  </si>
  <si>
    <r>
      <t xml:space="preserve">The total number of people served by the system.  The total number of people of zones entered below is shown to the right of the last zone and is entered here as a default for system population w/o diversity.  However, not all zones must be analyzed so this total may not be equal to </t>
    </r>
    <r>
      <rPr>
        <i/>
        <sz val="10"/>
        <rFont val="Arial"/>
        <family val="2"/>
      </rPr>
      <t>Ps</t>
    </r>
    <r>
      <rPr>
        <sz val="10"/>
        <rFont val="Arial"/>
        <family val="2"/>
      </rPr>
      <t xml:space="preserve">. The user should override the default value if not all zones are analyzed.  If all zones are entered, occupant diversity may be and usually is taken into account (not all zones will be simultaneously occupied).  The system population, </t>
    </r>
    <r>
      <rPr>
        <i/>
        <sz val="10"/>
        <rFont val="Arial"/>
        <family val="2"/>
      </rPr>
      <t>Ps</t>
    </r>
    <r>
      <rPr>
        <sz val="10"/>
        <rFont val="Arial"/>
        <family val="2"/>
      </rPr>
      <t xml:space="preserve">, is calculated by multiplying the non-diversified total by the diversity factor, </t>
    </r>
    <r>
      <rPr>
        <i/>
        <sz val="10"/>
        <rFont val="Arial"/>
        <family val="2"/>
      </rPr>
      <t>D</t>
    </r>
    <r>
      <rPr>
        <sz val="10"/>
        <rFont val="Arial"/>
        <family val="2"/>
      </rPr>
      <t>, which can be entered in cell H/8.</t>
    </r>
  </si>
  <si>
    <t>The design system primary airflow rate supplied to all zones served by the system from the air handling unit at which the outdoor air intake is located.  The total primary airflow of zones entered below is shown to the right of the last zone and is entered here as a default.  However, not all zones must be analyzed so this total may not be equal to Vpsd.  The user should override the default value if not all zones are analyzed. If all zones are entered, Vpsd may include a zone load diversity, which can be entered in cell H/9. For dual fan dual duct systems with outdoor air only supplied to the cooling fan, Vpsd is the cooling fan design airflow rate; if outdoor air is supplied equally to the heating and cooling fans, enter the sum of the two fan airflow rates.</t>
  </si>
  <si>
    <t>Revised June, 2010</t>
  </si>
  <si>
    <t xml:space="preserve">Not all zones need to be analyzed, only those that are potentially the critical zones.  The following provides some guidance in selecting zones for analysis :
* Cooling Condition:  For single duct systems, the zones most likely to be critical are those with low cooling loads and high occupancy loads.  For example, in office buildings, interior conference rooms are almost always the critical zone.   Exterior conference rooms with north exposures or shaded glass are also likely candidates.  Zones with high envelope cooling loads (e.g. south and west zones) seldom are critical due to their high supply air rates.  Zones with low occupant density are also seldom critical zones.
* Heating Condition:  For single duct systems, the critical zones are generally perimeter zones with low airflow rates, such as north zones.  For VAV systems, look for exterior zones that have low minimum primary supply air rates.  
</t>
  </si>
  <si>
    <t xml:space="preserve">The fraction of secondary recirculated air supplied to the zone that is representative of average system return air rather than air directly recirculated from the zone. For systems that fully mix the return air before recirculating it, such as dual fan/dual duct systems, Er is 1.0.  For systems with local recirculation fans such as fan-powered boxes or local transfer fans, Er is typically between 0 and 1.0 but can theoretically exceed 1.0.  Take for example a fan-powered mixing box.  Er will be equal to 1.0 if the fan-powered box intake is located near the main air handler return air opening to the return air plenum, i.e. the return air to the fan-powered box is equal in quality to the return air that is going through the primary air handler.  Er would be equal to 0.0 if the fan-powered box inlet were ducted directly to the zone it served, i.e. the quality of the air to the fan-powered box is equal to that in the zone served.  In this case, the recirculated air provides no ventilation benefit.  Er can be greater than 1 if the recirculated air comes from nearby zones that are over-ventilated relative to the average return air in the system.  Most plenum mounted fan-powered box applications will be well between these extremes.  A default value of 0.5 is assumed in the spreadsheet, which is usually conservatively low.  See results of ASHRAE research project RP-1276 for more details.  </t>
  </si>
  <si>
    <t>The zone air distribution effectiveness.  See Table 6-2, values from which are available from a pull-down menu.  This value may vary depending in the condition being analyzed.  For instance, for an overhead supply and return system, it may be 0.8 when analyzing the heating condition and 1.0 when analyzing the cooling condition.</t>
  </si>
  <si>
    <t>Vpsd Ds</t>
  </si>
  <si>
    <t>Vdzd Ds</t>
  </si>
  <si>
    <t>Induction Terminal Unit</t>
  </si>
  <si>
    <t>Dual Fan Dual Duct</t>
  </si>
  <si>
    <t>Transfer Fan</t>
  </si>
  <si>
    <t>The percentage of the design airflow rate at the conditioned being analyzed.  For the system, Ds is multiplied by Vpsd to get the ventilation system airflow rate Vps.  The cell for the system defaults to the sum of the zone primary airflow rates (shown in the Check Figures columns to the right of the last zone), but since not all zones may be analyzed, this value may not match system Ds.  For each zone, Ds is multiplied by Vdzd to get the zone total supply air rate Vdz.  For constant volume systems, Ds is 1.0 at both the system and zones.  For VAV systems:
   * Cooling condition.  Ds is typically 1.0 for the system.  For series fan-powered mixing boxes, Ds is 1.0 for all zones.  For other systems in non-critical zones, Ds is either 1 or slightly less to reflect load diversity.  For the critical zone(s) Ds will typically be determined based on the zone minimum airflow rate setpoint, although it may be higher to reflect the lowest zone load that can be expected when the space is fully occupied.  
   * Heating condition.  Ds will be much lower than 1.0 reflecting the reduction in airflow rate at each zone.  If all zones have been entered into the spreadsheet, Ds can be determined explicitly as the sum of the zone primary airflow rates (Ep*Ds*Vddz).    If not all zones have been entered, Ds for the system must be estimated.   Ds for each zone is determined assuming the zone is in full heating mode.</t>
  </si>
  <si>
    <t>pomeroy elementary</t>
  </si>
  <si>
    <t>Scope</t>
  </si>
  <si>
    <t>Scope Index</t>
  </si>
  <si>
    <t>Calculation Type</t>
  </si>
  <si>
    <t>Air Handler Number</t>
  </si>
  <si>
    <t>Air Handler Name</t>
  </si>
  <si>
    <t>Room Number</t>
  </si>
  <si>
    <t>Room Name</t>
  </si>
  <si>
    <t>Zone Number</t>
  </si>
  <si>
    <t>Occurrences</t>
  </si>
  <si>
    <t>Peak Month</t>
  </si>
  <si>
    <t>Peak Hour</t>
  </si>
  <si>
    <t>Project Title</t>
  </si>
  <si>
    <t>Project Address</t>
  </si>
  <si>
    <t>Project City, State and ZIP</t>
  </si>
  <si>
    <t>Delivery Date of Units</t>
  </si>
  <si>
    <t>Designed By</t>
  </si>
  <si>
    <t>Client Name</t>
  </si>
  <si>
    <t>Company Name</t>
  </si>
  <si>
    <t>Building Opening Hour</t>
  </si>
  <si>
    <t>Building Closing Hour</t>
  </si>
  <si>
    <t>City</t>
  </si>
  <si>
    <t>Latitude</t>
  </si>
  <si>
    <t>Altitude</t>
  </si>
  <si>
    <t>Summer Design Outdoor Dry Bulb</t>
  </si>
  <si>
    <t>Summer Design Outdoor Wet Bulb</t>
  </si>
  <si>
    <t>Summer Actual Outdoor Dry Bulb</t>
  </si>
  <si>
    <t>Summer Actual Outdoor Wet Bulb</t>
  </si>
  <si>
    <t>Winter Outdoor Dry Bulb</t>
  </si>
  <si>
    <t>System Type</t>
  </si>
  <si>
    <t>System Type Index</t>
  </si>
  <si>
    <t>Summer Indoor Dry Bulb</t>
  </si>
  <si>
    <t>Summer Indoor Relative Humidity</t>
  </si>
  <si>
    <t>Summer Indoor Wet Bulb</t>
  </si>
  <si>
    <t>Winter Indoor Dry Bulb</t>
  </si>
  <si>
    <t>Area</t>
  </si>
  <si>
    <t>Volume</t>
  </si>
  <si>
    <t>Sensible Gain</t>
  </si>
  <si>
    <t>Latent Gain</t>
  </si>
  <si>
    <t>Net Gain</t>
  </si>
  <si>
    <t>Adjusted Gain</t>
  </si>
  <si>
    <t>Net Tons</t>
  </si>
  <si>
    <t>Adjusted Tons</t>
  </si>
  <si>
    <t>Sensible Loss</t>
  </si>
  <si>
    <t>Cooling Supply Airflow</t>
  </si>
  <si>
    <t>Heating Supply Airflow</t>
  </si>
  <si>
    <t>Duct Shape</t>
  </si>
  <si>
    <t>Duct Width</t>
  </si>
  <si>
    <t>Duct Height</t>
  </si>
  <si>
    <t>Duct Diameter</t>
  </si>
  <si>
    <t>Number of Diffusers</t>
  </si>
  <si>
    <t>Flow per Runout</t>
  </si>
  <si>
    <t>Duct Air Velocity</t>
  </si>
  <si>
    <t>Duct Pressure Drop</t>
  </si>
  <si>
    <t>Sensible Gain on Supply Side of Coil</t>
  </si>
  <si>
    <t>Sensible Gain on Return Side of Coil</t>
  </si>
  <si>
    <t>Roof Area</t>
  </si>
  <si>
    <t>Roof Sensible Gain</t>
  </si>
  <si>
    <t>Roof Sensible Loss</t>
  </si>
  <si>
    <t>Wall Area</t>
  </si>
  <si>
    <t>Wall Sensible Gain</t>
  </si>
  <si>
    <t>Wall Sensible Loss</t>
  </si>
  <si>
    <t>Window Area</t>
  </si>
  <si>
    <t>Window Sensible Gain</t>
  </si>
  <si>
    <t>Window Sensible Loss</t>
  </si>
  <si>
    <t>Skylight Area</t>
  </si>
  <si>
    <t>Skylight Sensible Gain</t>
  </si>
  <si>
    <t>Skylight Sensible Loss</t>
  </si>
  <si>
    <t>Floor Slab Perimeter</t>
  </si>
  <si>
    <t>Floor Sensible Loss</t>
  </si>
  <si>
    <t>Lighting Watts</t>
  </si>
  <si>
    <t>Lighting Sensible Gain</t>
  </si>
  <si>
    <t>Equipment Sensible Watts</t>
  </si>
  <si>
    <t>Equipment Sensible Gain</t>
  </si>
  <si>
    <t>Equipment Latent Gain</t>
  </si>
  <si>
    <t>Pool Latent Gain</t>
  </si>
  <si>
    <t>People Number</t>
  </si>
  <si>
    <t>People Sensible Gain</t>
  </si>
  <si>
    <t>People Latent Gain</t>
  </si>
  <si>
    <t>Total Internal Sensible Gain</t>
  </si>
  <si>
    <t>Total Internal Latent Gain</t>
  </si>
  <si>
    <t>Partition Area</t>
  </si>
  <si>
    <t>Partition Sensible Gain</t>
  </si>
  <si>
    <t>Partition Sensible Loss</t>
  </si>
  <si>
    <t>Cooling Pretreated Air Flow</t>
  </si>
  <si>
    <t>Heating Pretreated Air Flow</t>
  </si>
  <si>
    <t>Cooling Pretreated Air Sensible Gain</t>
  </si>
  <si>
    <t>Cooling Pretreated Air Latent Gain</t>
  </si>
  <si>
    <t>Heating Pretreated Air Sensible Loss</t>
  </si>
  <si>
    <t>Cooling Ventilation Method</t>
  </si>
  <si>
    <t>Cooling Ventilation Flow Requested</t>
  </si>
  <si>
    <t>Cooling Ventilation Flow Actual</t>
  </si>
  <si>
    <t>Cooling Ventilation Sensible Gain</t>
  </si>
  <si>
    <t>Cooling Ventilation Latent Gain</t>
  </si>
  <si>
    <t>Heating Ventilation Method</t>
  </si>
  <si>
    <t>Heating Ventilation Flow Requested</t>
  </si>
  <si>
    <t>Heating Ventilation Flow Actual</t>
  </si>
  <si>
    <t>Heating Ventilation Sensible Loss</t>
  </si>
  <si>
    <t>Cooling Exhaust Flow</t>
  </si>
  <si>
    <t>Heating Exhaust Flow</t>
  </si>
  <si>
    <t>Cooling Infiltration Method</t>
  </si>
  <si>
    <t>Cooling Infiltration Flow</t>
  </si>
  <si>
    <t>Cooling Infiltration Sensible Gain</t>
  </si>
  <si>
    <t>Cooling Infiltration Latent Gain</t>
  </si>
  <si>
    <t>Heating Infiltration Method</t>
  </si>
  <si>
    <t>Heating Infiltration Flow</t>
  </si>
  <si>
    <t>Heating Infiltration Sensible Loss</t>
  </si>
  <si>
    <t>Draw-Through Fan Sensible Gain</t>
  </si>
  <si>
    <t>Blow-Through Fan Sensible Gain</t>
  </si>
  <si>
    <t>Cooling Reserve Capacity</t>
  </si>
  <si>
    <t>Cooling Reheat Capacity</t>
  </si>
  <si>
    <t>Supply Duct Sensible Gain</t>
  </si>
  <si>
    <t>Supply Duct Sensible Loss</t>
  </si>
  <si>
    <t>Return Duct Sensible Gain</t>
  </si>
  <si>
    <t>Return Duct Sensible Loss</t>
  </si>
  <si>
    <t>Miscellaneous Supply Sensible Gain</t>
  </si>
  <si>
    <t>Miscellaneous Return Sensible Gain</t>
  </si>
  <si>
    <t>Room Plenum Sensible Gain</t>
  </si>
  <si>
    <t>Room Plenum Sensible Loss</t>
  </si>
  <si>
    <t>Plenum Credit Cooling</t>
  </si>
  <si>
    <t>Plenum Credit Heating</t>
  </si>
  <si>
    <t>Plenum Sensible Gain Adjustment</t>
  </si>
  <si>
    <t>Plenum Sensible Loss Adjustment</t>
  </si>
  <si>
    <t>Leaving Cooling Coil Dry Bulb</t>
  </si>
  <si>
    <t>Leaving Cooling Coil Wet Bulb</t>
  </si>
  <si>
    <t>Leaving Cooling Coil Relative Humidity</t>
  </si>
  <si>
    <t>Leaving Cooling Coil Enthalpy</t>
  </si>
  <si>
    <t>Entering Cooling Coil Dry Bulb</t>
  </si>
  <si>
    <t>Entering Cooling Coil Wet Bulb</t>
  </si>
  <si>
    <t>Entering Cooling Coil Relative Humidity</t>
  </si>
  <si>
    <t>Entering Cooling Coil Enthalpy</t>
  </si>
  <si>
    <t>Leaving Heating Coil Dry Bulb</t>
  </si>
  <si>
    <t>Entering Heating Coil Dry Bulb</t>
  </si>
  <si>
    <t>Heating Model Type</t>
  </si>
  <si>
    <t>8.02.28</t>
  </si>
  <si>
    <t>Building</t>
  </si>
  <si>
    <t>R</t>
  </si>
  <si>
    <t>Z</t>
  </si>
  <si>
    <t>Room</t>
  </si>
  <si>
    <t>Ahu-1</t>
  </si>
  <si>
    <t>Round</t>
  </si>
  <si>
    <t>None</t>
  </si>
  <si>
    <t>August</t>
  </si>
  <si>
    <t>5pm</t>
  </si>
  <si>
    <t>Room Peak Totals</t>
  </si>
  <si>
    <t>Ahu-2</t>
  </si>
  <si>
    <t>4pm</t>
  </si>
  <si>
    <t>Zone</t>
  </si>
  <si>
    <t>Zone 0</t>
  </si>
  <si>
    <t>Zone Peak Totals</t>
  </si>
  <si>
    <t>change log</t>
  </si>
  <si>
    <t>v0.0</t>
  </si>
  <si>
    <t>release</t>
  </si>
  <si>
    <t>v0.1</t>
  </si>
  <si>
    <t>fixed a bug where the last room is not copied to the calculation sheet</t>
  </si>
  <si>
    <t>updated documentation</t>
  </si>
  <si>
    <t>Program Version</t>
  </si>
  <si>
    <t>BEAUMONT/PORT ARTHUR, TEXAS, USA</t>
  </si>
  <si>
    <t>Cash Room</t>
  </si>
  <si>
    <t>11pm</t>
  </si>
  <si>
    <t>Direct</t>
  </si>
  <si>
    <t>Waiting</t>
  </si>
  <si>
    <t>Lobby</t>
  </si>
  <si>
    <t>Safe Room</t>
  </si>
  <si>
    <t>Corridor</t>
  </si>
  <si>
    <t>7pm</t>
  </si>
  <si>
    <t>Women</t>
  </si>
  <si>
    <t>Men</t>
  </si>
  <si>
    <t>Janitor</t>
  </si>
  <si>
    <t>Hall</t>
  </si>
  <si>
    <t>Tellers</t>
  </si>
  <si>
    <t>Constant Volume - Sum of Peaks</t>
  </si>
  <si>
    <t>Office A</t>
  </si>
  <si>
    <t>Office B</t>
  </si>
  <si>
    <t>Office C</t>
  </si>
  <si>
    <t>Work Area</t>
  </si>
  <si>
    <t>Break Room</t>
  </si>
  <si>
    <t>DND</t>
  </si>
  <si>
    <t>total area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</si>
</sst>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0.0"/>
    <numFmt numFmtId="165" formatCode="0.00_);\(0.00\)"/>
    <numFmt numFmtId="166" formatCode="0.0_);\(0.0\)"/>
    <numFmt numFmtId="167" formatCode="0_);\(0\)"/>
  </numFmts>
  <fonts count="34">
    <font>
      <sz val="10"/>
      <name val="Arial"/>
      <family val="2"/>
    </font>
    <font>
      <sz val="9"/>
      <name val="Geneva"/>
    </font>
    <font>
      <u/>
      <sz val="9"/>
      <color indexed="12"/>
      <name val="Geneva"/>
    </font>
    <font>
      <sz val="8"/>
      <name val="Geneva"/>
    </font>
    <font>
      <sz val="10"/>
      <color indexed="12"/>
      <name val="Arial"/>
      <family val="2"/>
    </font>
    <font>
      <b/>
      <sz val="10"/>
      <name val="Arial"/>
      <family val="2"/>
    </font>
    <font>
      <sz val="10"/>
      <name val="Arial"/>
      <family val="2"/>
    </font>
    <font>
      <b/>
      <u/>
      <sz val="10"/>
      <name val="Arial"/>
      <family val="2"/>
    </font>
    <font>
      <u/>
      <sz val="10"/>
      <color indexed="12"/>
      <name val="Arial"/>
      <family val="2"/>
    </font>
    <font>
      <b/>
      <sz val="10"/>
      <color indexed="10"/>
      <name val="Arial"/>
      <family val="2"/>
    </font>
    <font>
      <i/>
      <sz val="10"/>
      <color indexed="14"/>
      <name val="Arial"/>
      <family val="2"/>
    </font>
    <font>
      <sz val="9"/>
      <name val="Arial"/>
      <family val="2"/>
    </font>
    <font>
      <sz val="10"/>
      <color indexed="23"/>
      <name val="Arial"/>
      <family val="2"/>
    </font>
    <font>
      <sz val="10"/>
      <color indexed="17"/>
      <name val="Arial"/>
      <family val="2"/>
    </font>
    <font>
      <sz val="10"/>
      <color indexed="14"/>
      <name val="Arial"/>
      <family val="2"/>
    </font>
    <font>
      <sz val="10"/>
      <color indexed="10"/>
      <name val="Arial"/>
      <family val="2"/>
    </font>
    <font>
      <u/>
      <sz val="10"/>
      <name val="Arial"/>
      <family val="2"/>
    </font>
    <font>
      <b/>
      <u/>
      <sz val="10"/>
      <color indexed="12"/>
      <name val="Arial"/>
      <family val="2"/>
    </font>
    <font>
      <b/>
      <sz val="10"/>
      <color indexed="12"/>
      <name val="Arial"/>
      <family val="2"/>
    </font>
    <font>
      <b/>
      <u/>
      <sz val="10"/>
      <color indexed="17"/>
      <name val="Arial"/>
      <family val="2"/>
    </font>
    <font>
      <sz val="9"/>
      <color indexed="8"/>
      <name val="Arial"/>
      <family val="2"/>
    </font>
    <font>
      <b/>
      <sz val="9"/>
      <name val="Arial"/>
      <family val="2"/>
    </font>
    <font>
      <sz val="10"/>
      <name val="Arial"/>
      <family val="2"/>
    </font>
    <font>
      <b/>
      <sz val="10"/>
      <color indexed="56"/>
      <name val="Arial"/>
      <family val="2"/>
    </font>
    <font>
      <sz val="10"/>
      <name val="Arial"/>
      <family val="2"/>
    </font>
    <font>
      <sz val="10"/>
      <name val="Geneva"/>
    </font>
    <font>
      <sz val="8"/>
      <name val="Arial"/>
      <family val="2"/>
    </font>
    <font>
      <i/>
      <sz val="10"/>
      <name val="Arial"/>
      <family val="2"/>
    </font>
    <font>
      <i/>
      <sz val="10"/>
      <color indexed="23"/>
      <name val="Arial"/>
      <family val="2"/>
    </font>
    <font>
      <i/>
      <sz val="10"/>
      <color indexed="12"/>
      <name val="Arial"/>
      <family val="2"/>
    </font>
    <font>
      <sz val="10"/>
      <color indexed="9"/>
      <name val="Arial"/>
      <family val="2"/>
    </font>
    <font>
      <b/>
      <i/>
      <sz val="9"/>
      <name val="Arial"/>
      <family val="2"/>
    </font>
    <font>
      <b/>
      <vertAlign val="superscript"/>
      <sz val="9"/>
      <name val="Arial"/>
      <family val="2"/>
    </font>
    <font>
      <sz val="10"/>
      <color rgb="FF000000"/>
      <name val="Arial"/>
      <family val="2"/>
    </font>
  </fonts>
  <fills count="6">
    <fill>
      <patternFill patternType="none"/>
    </fill>
    <fill>
      <patternFill patternType="gray125"/>
    </fill>
    <fill>
      <patternFill patternType="solid">
        <fgColor indexed="26"/>
        <bgColor indexed="64"/>
      </patternFill>
    </fill>
    <fill>
      <patternFill patternType="solid">
        <fgColor indexed="22"/>
        <bgColor indexed="64"/>
      </patternFill>
    </fill>
    <fill>
      <patternFill patternType="solid">
        <fgColor indexed="13"/>
        <bgColor indexed="64"/>
      </patternFill>
    </fill>
    <fill>
      <patternFill patternType="solid">
        <fgColor indexed="43"/>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right style="medium">
        <color indexed="64"/>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s>
  <cellStyleXfs count="4">
    <xf numFmtId="0" fontId="0" fillId="0" borderId="0"/>
    <xf numFmtId="43" fontId="1" fillId="0" borderId="0" applyFont="0" applyFill="0" applyBorder="0" applyAlignment="0" applyProtection="0"/>
    <xf numFmtId="0" fontId="2" fillId="0" borderId="0" applyNumberFormat="0" applyFill="0" applyBorder="0" applyAlignment="0" applyProtection="0">
      <alignment vertical="top"/>
      <protection locked="0"/>
    </xf>
    <xf numFmtId="9" fontId="1" fillId="0" borderId="0" applyFont="0" applyFill="0" applyBorder="0" applyAlignment="0" applyProtection="0"/>
  </cellStyleXfs>
  <cellXfs count="370">
    <xf numFmtId="0" fontId="0" fillId="0" borderId="0" xfId="0"/>
    <xf numFmtId="0" fontId="4" fillId="2" borderId="1" xfId="0" applyFont="1" applyFill="1" applyBorder="1" applyAlignment="1" applyProtection="1">
      <alignment horizontal="right" vertical="top" wrapText="1"/>
      <protection locked="0"/>
    </xf>
    <xf numFmtId="0" fontId="6" fillId="0" borderId="0" xfId="0" applyFont="1" applyBorder="1"/>
    <xf numFmtId="0" fontId="4" fillId="2" borderId="1" xfId="0" applyFont="1" applyFill="1" applyBorder="1" applyAlignment="1" applyProtection="1">
      <alignment horizontal="right"/>
      <protection locked="0"/>
    </xf>
    <xf numFmtId="0" fontId="6" fillId="0" borderId="0" xfId="0" applyFont="1" applyBorder="1" applyAlignment="1"/>
    <xf numFmtId="9" fontId="4" fillId="2" borderId="1" xfId="0" applyNumberFormat="1" applyFont="1" applyFill="1" applyBorder="1" applyAlignment="1" applyProtection="1">
      <alignment horizontal="right"/>
      <protection locked="0"/>
    </xf>
    <xf numFmtId="0" fontId="8" fillId="0" borderId="0" xfId="2" applyFont="1" applyBorder="1" applyAlignment="1" applyProtection="1">
      <alignment horizontal="center"/>
    </xf>
    <xf numFmtId="2" fontId="4" fillId="2" borderId="1" xfId="0" applyNumberFormat="1" applyFont="1" applyFill="1" applyBorder="1" applyProtection="1">
      <protection locked="0"/>
    </xf>
    <xf numFmtId="0" fontId="5" fillId="2" borderId="1" xfId="0" applyFont="1" applyFill="1" applyBorder="1" applyAlignment="1" applyProtection="1">
      <alignment horizontal="center" vertical="top" wrapText="1"/>
      <protection locked="0"/>
    </xf>
    <xf numFmtId="2" fontId="4" fillId="0" borderId="0" xfId="3" applyNumberFormat="1" applyFont="1" applyFill="1" applyBorder="1" applyProtection="1">
      <protection locked="0"/>
    </xf>
    <xf numFmtId="0" fontId="6" fillId="0" borderId="0" xfId="0" applyFont="1" applyBorder="1" applyAlignment="1">
      <alignment vertical="center"/>
    </xf>
    <xf numFmtId="164" fontId="4" fillId="2" borderId="1" xfId="0" applyNumberFormat="1" applyFont="1" applyFill="1" applyBorder="1" applyProtection="1">
      <protection locked="0"/>
    </xf>
    <xf numFmtId="0" fontId="7" fillId="0" borderId="2" xfId="0" applyFont="1" applyBorder="1"/>
    <xf numFmtId="0" fontId="19" fillId="0" borderId="2" xfId="0" applyFont="1" applyBorder="1"/>
    <xf numFmtId="0" fontId="7" fillId="0" borderId="3" xfId="0" applyFont="1" applyBorder="1"/>
    <xf numFmtId="0" fontId="11" fillId="0" borderId="0" xfId="0" applyFont="1"/>
    <xf numFmtId="0" fontId="6" fillId="0" borderId="0" xfId="0" applyFont="1"/>
    <xf numFmtId="0" fontId="22" fillId="0" borderId="0" xfId="0" applyFont="1"/>
    <xf numFmtId="0" fontId="22" fillId="0" borderId="0" xfId="0" applyFont="1" applyAlignment="1">
      <alignment vertical="center"/>
    </xf>
    <xf numFmtId="0" fontId="22" fillId="0" borderId="0" xfId="0" applyFont="1" applyAlignment="1"/>
    <xf numFmtId="0" fontId="6" fillId="0" borderId="4" xfId="0" applyFont="1" applyBorder="1"/>
    <xf numFmtId="0" fontId="19" fillId="0" borderId="3" xfId="0" applyFont="1" applyBorder="1"/>
    <xf numFmtId="0" fontId="5" fillId="2" borderId="5" xfId="0" applyFont="1" applyFill="1" applyBorder="1" applyAlignment="1" applyProtection="1">
      <alignment horizontal="center" vertical="top" wrapText="1"/>
      <protection locked="0"/>
    </xf>
    <xf numFmtId="0" fontId="22" fillId="0" borderId="0" xfId="0" applyFont="1" applyProtection="1">
      <protection hidden="1"/>
    </xf>
    <xf numFmtId="0" fontId="22" fillId="0" borderId="0" xfId="0" applyFont="1" applyAlignment="1" applyProtection="1">
      <alignment vertical="center"/>
      <protection hidden="1"/>
    </xf>
    <xf numFmtId="0" fontId="22" fillId="0" borderId="0" xfId="0" applyFont="1" applyAlignment="1" applyProtection="1">
      <protection hidden="1"/>
    </xf>
    <xf numFmtId="0" fontId="22" fillId="0" borderId="0" xfId="0" applyFont="1" applyAlignment="1" applyProtection="1">
      <alignment wrapText="1"/>
      <protection hidden="1"/>
    </xf>
    <xf numFmtId="0" fontId="22" fillId="0" borderId="0" xfId="0" applyFont="1" applyAlignment="1" applyProtection="1">
      <alignment vertical="center" wrapText="1"/>
      <protection hidden="1"/>
    </xf>
    <xf numFmtId="0" fontId="5" fillId="0" borderId="6" xfId="0" applyFont="1" applyBorder="1" applyAlignment="1" applyProtection="1">
      <alignment horizontal="left"/>
    </xf>
    <xf numFmtId="0" fontId="6" fillId="0" borderId="7" xfId="0" applyFont="1" applyBorder="1" applyAlignment="1" applyProtection="1">
      <alignment vertical="center"/>
    </xf>
    <xf numFmtId="0" fontId="5" fillId="0" borderId="7" xfId="0" applyFont="1" applyFill="1" applyBorder="1" applyAlignment="1" applyProtection="1">
      <alignment horizontal="right"/>
    </xf>
    <xf numFmtId="0" fontId="6" fillId="0" borderId="6" xfId="0" applyFont="1" applyBorder="1" applyProtection="1"/>
    <xf numFmtId="0" fontId="6" fillId="0" borderId="8" xfId="0" applyFont="1" applyBorder="1" applyProtection="1"/>
    <xf numFmtId="0" fontId="6" fillId="0" borderId="0" xfId="0" applyFont="1" applyProtection="1"/>
    <xf numFmtId="0" fontId="5" fillId="0" borderId="9" xfId="0" applyFont="1" applyBorder="1" applyAlignment="1" applyProtection="1">
      <alignment horizontal="left"/>
    </xf>
    <xf numFmtId="0" fontId="6" fillId="0" borderId="0" xfId="0" applyFont="1" applyBorder="1" applyAlignment="1" applyProtection="1">
      <alignment vertical="center"/>
    </xf>
    <xf numFmtId="0" fontId="24" fillId="0" borderId="0" xfId="0" applyFont="1" applyBorder="1" applyProtection="1"/>
    <xf numFmtId="0" fontId="24" fillId="0" borderId="10" xfId="0" applyFont="1" applyBorder="1" applyProtection="1"/>
    <xf numFmtId="0" fontId="24" fillId="0" borderId="9" xfId="0" applyFont="1" applyBorder="1" applyProtection="1"/>
    <xf numFmtId="0" fontId="24" fillId="0" borderId="0" xfId="0" applyFont="1" applyProtection="1"/>
    <xf numFmtId="0" fontId="5" fillId="0" borderId="11" xfId="0" applyFont="1" applyBorder="1" applyAlignment="1" applyProtection="1">
      <alignment horizontal="left"/>
    </xf>
    <xf numFmtId="0" fontId="5" fillId="0" borderId="12" xfId="0" applyFont="1" applyBorder="1" applyAlignment="1" applyProtection="1">
      <alignment vertical="center"/>
    </xf>
    <xf numFmtId="0" fontId="24" fillId="0" borderId="12" xfId="0" applyFont="1" applyBorder="1" applyProtection="1"/>
    <xf numFmtId="0" fontId="24" fillId="0" borderId="13" xfId="0" applyFont="1" applyBorder="1" applyProtection="1"/>
    <xf numFmtId="0" fontId="24" fillId="0" borderId="11" xfId="0" applyFont="1" applyBorder="1" applyProtection="1"/>
    <xf numFmtId="0" fontId="7" fillId="0" borderId="9" xfId="0" applyFont="1" applyBorder="1" applyAlignment="1" applyProtection="1">
      <alignment horizontal="left"/>
    </xf>
    <xf numFmtId="0" fontId="5" fillId="0" borderId="0" xfId="0" applyFont="1" applyBorder="1" applyAlignment="1" applyProtection="1">
      <alignment horizontal="left" vertical="center"/>
    </xf>
    <xf numFmtId="0" fontId="5" fillId="0" borderId="0" xfId="0" applyFont="1" applyBorder="1" applyAlignment="1" applyProtection="1"/>
    <xf numFmtId="0" fontId="6" fillId="0" borderId="0" xfId="0" applyFont="1" applyBorder="1" applyAlignment="1" applyProtection="1"/>
    <xf numFmtId="0" fontId="6" fillId="0" borderId="0" xfId="0" applyFont="1" applyBorder="1" applyProtection="1"/>
    <xf numFmtId="0" fontId="6" fillId="0" borderId="0" xfId="0" applyFont="1" applyBorder="1" applyAlignment="1" applyProtection="1">
      <alignment horizontal="center"/>
    </xf>
    <xf numFmtId="0" fontId="6" fillId="0" borderId="0" xfId="0" applyFont="1" applyBorder="1" applyAlignment="1" applyProtection="1">
      <alignment horizontal="right"/>
    </xf>
    <xf numFmtId="0" fontId="6" fillId="0" borderId="10" xfId="0" applyFont="1" applyBorder="1" applyProtection="1"/>
    <xf numFmtId="0" fontId="6" fillId="0" borderId="9" xfId="0" applyFont="1" applyBorder="1" applyProtection="1"/>
    <xf numFmtId="0" fontId="7" fillId="0" borderId="0" xfId="0" applyFont="1" applyBorder="1" applyAlignment="1" applyProtection="1">
      <alignment horizontal="left" vertical="center"/>
    </xf>
    <xf numFmtId="0" fontId="22" fillId="0" borderId="0" xfId="0" applyFont="1" applyBorder="1" applyProtection="1"/>
    <xf numFmtId="0" fontId="22" fillId="0" borderId="0" xfId="0" applyFont="1" applyBorder="1" applyAlignment="1" applyProtection="1">
      <alignment horizontal="left"/>
    </xf>
    <xf numFmtId="0" fontId="5" fillId="0" borderId="1" xfId="0" applyFont="1" applyBorder="1" applyAlignment="1" applyProtection="1">
      <alignment horizontal="center" wrapText="1"/>
    </xf>
    <xf numFmtId="0" fontId="5" fillId="0" borderId="9" xfId="0" applyFont="1" applyBorder="1" applyProtection="1"/>
    <xf numFmtId="0" fontId="7" fillId="0" borderId="9" xfId="0" applyFont="1" applyBorder="1" applyProtection="1"/>
    <xf numFmtId="0" fontId="22" fillId="0" borderId="0" xfId="0" applyFont="1" applyBorder="1" applyAlignment="1" applyProtection="1">
      <alignment vertical="center"/>
    </xf>
    <xf numFmtId="0" fontId="22" fillId="0" borderId="0" xfId="0" applyFont="1" applyBorder="1" applyAlignment="1" applyProtection="1"/>
    <xf numFmtId="0" fontId="22" fillId="0" borderId="0" xfId="0" applyFont="1" applyBorder="1" applyAlignment="1" applyProtection="1">
      <alignment horizontal="right"/>
    </xf>
    <xf numFmtId="164" fontId="6" fillId="0" borderId="0" xfId="0" applyNumberFormat="1" applyFont="1" applyBorder="1" applyProtection="1"/>
    <xf numFmtId="164" fontId="6" fillId="0" borderId="9" xfId="0" applyNumberFormat="1" applyFont="1" applyBorder="1" applyProtection="1"/>
    <xf numFmtId="2" fontId="6" fillId="0" borderId="0" xfId="0" applyNumberFormat="1" applyFont="1" applyBorder="1" applyProtection="1"/>
    <xf numFmtId="2" fontId="6" fillId="0" borderId="9" xfId="0" applyNumberFormat="1" applyFont="1" applyBorder="1" applyProtection="1"/>
    <xf numFmtId="0" fontId="9" fillId="0" borderId="0" xfId="0" applyFont="1" applyBorder="1" applyAlignment="1" applyProtection="1">
      <alignment horizontal="center"/>
    </xf>
    <xf numFmtId="2" fontId="22" fillId="0" borderId="9" xfId="0" applyNumberFormat="1" applyFont="1" applyBorder="1" applyProtection="1"/>
    <xf numFmtId="0" fontId="22" fillId="0" borderId="10" xfId="0" applyFont="1" applyBorder="1" applyAlignment="1" applyProtection="1"/>
    <xf numFmtId="0" fontId="22" fillId="0" borderId="0" xfId="0" applyFont="1" applyProtection="1"/>
    <xf numFmtId="0" fontId="7" fillId="0" borderId="14" xfId="0" applyFont="1" applyBorder="1" applyProtection="1"/>
    <xf numFmtId="0" fontId="22" fillId="0" borderId="15" xfId="0" applyFont="1" applyFill="1" applyBorder="1" applyAlignment="1" applyProtection="1">
      <alignment vertical="center"/>
    </xf>
    <xf numFmtId="0" fontId="22" fillId="0" borderId="15" xfId="0" applyFont="1" applyBorder="1" applyAlignment="1" applyProtection="1"/>
    <xf numFmtId="0" fontId="22" fillId="0" borderId="15" xfId="0" applyFont="1" applyBorder="1" applyProtection="1"/>
    <xf numFmtId="0" fontId="22" fillId="0" borderId="15" xfId="0" applyFont="1" applyBorder="1" applyAlignment="1" applyProtection="1">
      <alignment horizontal="right"/>
    </xf>
    <xf numFmtId="0" fontId="9" fillId="0" borderId="15" xfId="0" applyFont="1" applyBorder="1" applyAlignment="1" applyProtection="1">
      <alignment horizontal="center"/>
    </xf>
    <xf numFmtId="0" fontId="9" fillId="0" borderId="14" xfId="0" applyFont="1" applyBorder="1" applyAlignment="1" applyProtection="1">
      <alignment horizontal="center"/>
    </xf>
    <xf numFmtId="0" fontId="22" fillId="0" borderId="16" xfId="0" applyFont="1" applyBorder="1" applyProtection="1"/>
    <xf numFmtId="0" fontId="5" fillId="0" borderId="0" xfId="0" applyFont="1" applyBorder="1" applyAlignment="1" applyProtection="1">
      <alignment horizontal="right" vertical="top" wrapText="1"/>
    </xf>
    <xf numFmtId="0" fontId="6" fillId="0" borderId="0" xfId="0" applyFont="1" applyBorder="1" applyAlignment="1" applyProtection="1">
      <alignment vertical="center" wrapText="1"/>
    </xf>
    <xf numFmtId="0" fontId="10" fillId="0" borderId="0" xfId="0" applyFont="1" applyBorder="1" applyAlignment="1" applyProtection="1"/>
    <xf numFmtId="0" fontId="22" fillId="0" borderId="0" xfId="0" applyFont="1" applyBorder="1" applyAlignment="1" applyProtection="1">
      <alignment horizontal="center"/>
    </xf>
    <xf numFmtId="0" fontId="22" fillId="0" borderId="0" xfId="0" applyFont="1" applyBorder="1" applyAlignment="1" applyProtection="1">
      <alignment vertical="center" wrapText="1"/>
    </xf>
    <xf numFmtId="0" fontId="22" fillId="0" borderId="0" xfId="0" applyFont="1" applyBorder="1" applyAlignment="1" applyProtection="1">
      <alignment horizontal="right" vertical="top" wrapText="1"/>
    </xf>
    <xf numFmtId="0" fontId="22" fillId="0" borderId="0" xfId="0" applyFont="1" applyFill="1" applyBorder="1" applyAlignment="1" applyProtection="1">
      <alignment vertical="center"/>
    </xf>
    <xf numFmtId="0" fontId="12" fillId="0" borderId="0" xfId="0" applyFont="1" applyBorder="1" applyAlignment="1" applyProtection="1"/>
    <xf numFmtId="0" fontId="7" fillId="0" borderId="14" xfId="0" applyFont="1" applyBorder="1" applyAlignment="1" applyProtection="1">
      <alignment horizontal="left"/>
    </xf>
    <xf numFmtId="0" fontId="12" fillId="0" borderId="15" xfId="0" applyFont="1" applyBorder="1" applyAlignment="1" applyProtection="1">
      <alignment vertical="center"/>
    </xf>
    <xf numFmtId="0" fontId="9" fillId="0" borderId="15" xfId="0" applyFont="1" applyBorder="1" applyProtection="1"/>
    <xf numFmtId="0" fontId="22" fillId="0" borderId="15" xfId="0" applyFont="1" applyBorder="1" applyAlignment="1" applyProtection="1">
      <alignment horizontal="left"/>
    </xf>
    <xf numFmtId="2" fontId="6" fillId="0" borderId="14" xfId="0" applyNumberFormat="1" applyFont="1" applyBorder="1" applyProtection="1"/>
    <xf numFmtId="0" fontId="6" fillId="0" borderId="16" xfId="0" applyFont="1" applyBorder="1" applyProtection="1"/>
    <xf numFmtId="0" fontId="12" fillId="0" borderId="0" xfId="0" applyFont="1" applyBorder="1" applyAlignment="1" applyProtection="1">
      <alignment vertical="center"/>
    </xf>
    <xf numFmtId="0" fontId="12" fillId="0" borderId="0" xfId="0" applyFont="1" applyBorder="1" applyProtection="1"/>
    <xf numFmtId="0" fontId="9" fillId="0" borderId="0" xfId="0" applyFont="1" applyBorder="1" applyProtection="1"/>
    <xf numFmtId="2" fontId="4" fillId="0" borderId="0" xfId="3" applyNumberFormat="1" applyFont="1" applyFill="1" applyBorder="1" applyProtection="1"/>
    <xf numFmtId="9" fontId="6" fillId="0" borderId="9" xfId="0" applyNumberFormat="1" applyFont="1" applyBorder="1" applyProtection="1"/>
    <xf numFmtId="1" fontId="6" fillId="0" borderId="0" xfId="0" applyNumberFormat="1" applyFont="1" applyProtection="1"/>
    <xf numFmtId="9" fontId="22" fillId="0" borderId="0" xfId="3" applyNumberFormat="1" applyFont="1" applyProtection="1"/>
    <xf numFmtId="0" fontId="15" fillId="0" borderId="0" xfId="0" applyFont="1" applyBorder="1" applyProtection="1"/>
    <xf numFmtId="1" fontId="13" fillId="0" borderId="0" xfId="0" applyNumberFormat="1" applyFont="1" applyBorder="1" applyProtection="1"/>
    <xf numFmtId="1" fontId="13" fillId="0" borderId="9" xfId="0" applyNumberFormat="1" applyFont="1" applyBorder="1" applyProtection="1"/>
    <xf numFmtId="0" fontId="22" fillId="0" borderId="10" xfId="0" applyFont="1" applyBorder="1" applyProtection="1"/>
    <xf numFmtId="0" fontId="19" fillId="0" borderId="9" xfId="0" applyFont="1" applyBorder="1" applyProtection="1"/>
    <xf numFmtId="0" fontId="13" fillId="0" borderId="0" xfId="0" applyFont="1" applyBorder="1" applyAlignment="1" applyProtection="1">
      <alignment horizontal="left"/>
    </xf>
    <xf numFmtId="0" fontId="13" fillId="0" borderId="0" xfId="0" applyFont="1" applyBorder="1" applyProtection="1"/>
    <xf numFmtId="0" fontId="13" fillId="0" borderId="0" xfId="0" applyFont="1" applyBorder="1" applyAlignment="1" applyProtection="1">
      <alignment horizontal="right"/>
    </xf>
    <xf numFmtId="0" fontId="22" fillId="0" borderId="9" xfId="0" applyFont="1" applyBorder="1" applyProtection="1"/>
    <xf numFmtId="0" fontId="19" fillId="0" borderId="14" xfId="0" applyFont="1" applyBorder="1" applyProtection="1"/>
    <xf numFmtId="0" fontId="15" fillId="0" borderId="15" xfId="0" applyFont="1" applyBorder="1" applyProtection="1"/>
    <xf numFmtId="0" fontId="13" fillId="0" borderId="15" xfId="0" applyFont="1" applyBorder="1" applyAlignment="1" applyProtection="1">
      <alignment horizontal="left"/>
    </xf>
    <xf numFmtId="0" fontId="13" fillId="0" borderId="15" xfId="0" applyFont="1" applyBorder="1" applyProtection="1"/>
    <xf numFmtId="0" fontId="13" fillId="0" borderId="15" xfId="0" applyFont="1" applyBorder="1" applyAlignment="1" applyProtection="1">
      <alignment horizontal="right"/>
    </xf>
    <xf numFmtId="1" fontId="13" fillId="0" borderId="15" xfId="0" applyNumberFormat="1" applyFont="1" applyBorder="1" applyProtection="1"/>
    <xf numFmtId="0" fontId="22" fillId="0" borderId="14" xfId="0" applyFont="1" applyBorder="1" applyProtection="1"/>
    <xf numFmtId="0" fontId="22" fillId="0" borderId="9" xfId="0" applyFont="1" applyBorder="1" applyAlignment="1" applyProtection="1">
      <alignment vertical="center"/>
    </xf>
    <xf numFmtId="165" fontId="5" fillId="0" borderId="0" xfId="0" applyNumberFormat="1" applyFont="1" applyBorder="1" applyProtection="1"/>
    <xf numFmtId="2" fontId="15" fillId="0" borderId="0" xfId="3" applyNumberFormat="1" applyFont="1" applyFill="1" applyBorder="1" applyProtection="1"/>
    <xf numFmtId="0" fontId="6" fillId="0" borderId="9" xfId="0" applyFont="1" applyBorder="1" applyAlignment="1" applyProtection="1">
      <alignment vertical="center"/>
    </xf>
    <xf numFmtId="0" fontId="6" fillId="0" borderId="0" xfId="0" applyFont="1" applyBorder="1" applyAlignment="1" applyProtection="1">
      <alignment horizontal="left"/>
    </xf>
    <xf numFmtId="167" fontId="5" fillId="0" borderId="0" xfId="0" applyNumberFormat="1" applyFont="1" applyBorder="1" applyProtection="1"/>
    <xf numFmtId="166" fontId="5" fillId="0" borderId="0" xfId="0" applyNumberFormat="1" applyFont="1" applyBorder="1" applyProtection="1"/>
    <xf numFmtId="9" fontId="5" fillId="0" borderId="0" xfId="3" applyFont="1" applyBorder="1" applyProtection="1"/>
    <xf numFmtId="0" fontId="7" fillId="0" borderId="11" xfId="0" applyFont="1" applyBorder="1" applyProtection="1"/>
    <xf numFmtId="0" fontId="22" fillId="0" borderId="12" xfId="0" applyFont="1" applyBorder="1" applyAlignment="1" applyProtection="1">
      <alignment vertical="center"/>
    </xf>
    <xf numFmtId="0" fontId="13" fillId="0" borderId="12" xfId="0" applyFont="1" applyBorder="1" applyProtection="1"/>
    <xf numFmtId="0" fontId="22" fillId="0" borderId="12" xfId="0" applyFont="1" applyBorder="1" applyProtection="1"/>
    <xf numFmtId="0" fontId="13" fillId="0" borderId="12" xfId="0" applyFont="1" applyBorder="1" applyAlignment="1" applyProtection="1">
      <alignment horizontal="center"/>
    </xf>
    <xf numFmtId="0" fontId="14" fillId="0" borderId="12" xfId="0" applyFont="1" applyBorder="1" applyProtection="1"/>
    <xf numFmtId="0" fontId="15" fillId="0" borderId="12" xfId="0" applyFont="1" applyBorder="1" applyAlignment="1" applyProtection="1">
      <alignment horizontal="right"/>
    </xf>
    <xf numFmtId="0" fontId="22" fillId="0" borderId="11" xfId="0" applyFont="1" applyBorder="1" applyProtection="1"/>
    <xf numFmtId="0" fontId="22" fillId="0" borderId="13" xfId="0" applyFont="1" applyBorder="1" applyProtection="1"/>
    <xf numFmtId="0" fontId="7" fillId="3" borderId="2" xfId="0" applyFont="1" applyFill="1" applyBorder="1" applyProtection="1"/>
    <xf numFmtId="0" fontId="22" fillId="3" borderId="0" xfId="0" applyFont="1" applyFill="1" applyBorder="1" applyAlignment="1" applyProtection="1">
      <alignment vertical="center"/>
    </xf>
    <xf numFmtId="0" fontId="13" fillId="3" borderId="0" xfId="0" applyFont="1" applyFill="1" applyBorder="1" applyProtection="1"/>
    <xf numFmtId="0" fontId="22" fillId="3" borderId="0" xfId="0" applyFont="1" applyFill="1" applyBorder="1" applyProtection="1"/>
    <xf numFmtId="0" fontId="13" fillId="3" borderId="0" xfId="0" applyFont="1" applyFill="1" applyBorder="1" applyAlignment="1" applyProtection="1">
      <alignment horizontal="center"/>
    </xf>
    <xf numFmtId="0" fontId="14" fillId="3" borderId="0" xfId="0" applyFont="1" applyFill="1" applyBorder="1" applyProtection="1"/>
    <xf numFmtId="0" fontId="15" fillId="3" borderId="0" xfId="0" applyFont="1" applyFill="1" applyBorder="1" applyAlignment="1" applyProtection="1">
      <alignment horizontal="right"/>
    </xf>
    <xf numFmtId="0" fontId="14" fillId="3" borderId="0" xfId="0" applyFont="1" applyFill="1" applyBorder="1" applyAlignment="1" applyProtection="1">
      <alignment vertical="center"/>
    </xf>
    <xf numFmtId="0" fontId="14" fillId="3" borderId="0" xfId="0" applyFont="1" applyFill="1" applyBorder="1" applyAlignment="1" applyProtection="1"/>
    <xf numFmtId="0" fontId="14" fillId="3" borderId="0" xfId="0" applyFont="1" applyFill="1" applyBorder="1" applyAlignment="1" applyProtection="1">
      <alignment horizontal="center"/>
    </xf>
    <xf numFmtId="0" fontId="14" fillId="3" borderId="0" xfId="0" applyFont="1" applyFill="1" applyBorder="1" applyAlignment="1" applyProtection="1">
      <alignment horizontal="right"/>
    </xf>
    <xf numFmtId="0" fontId="7" fillId="3" borderId="2" xfId="0" applyFont="1" applyFill="1" applyBorder="1" applyAlignment="1" applyProtection="1">
      <alignment horizontal="left"/>
    </xf>
    <xf numFmtId="0" fontId="22" fillId="3" borderId="0" xfId="0" applyFont="1" applyFill="1" applyBorder="1" applyAlignment="1" applyProtection="1"/>
    <xf numFmtId="0" fontId="22" fillId="3" borderId="0" xfId="0" applyFont="1" applyFill="1" applyBorder="1" applyAlignment="1" applyProtection="1">
      <alignment horizontal="center"/>
    </xf>
    <xf numFmtId="0" fontId="8" fillId="3" borderId="0" xfId="2" applyFont="1" applyFill="1" applyBorder="1" applyAlignment="1" applyProtection="1">
      <alignment horizontal="center"/>
    </xf>
    <xf numFmtId="0" fontId="22" fillId="3" borderId="0" xfId="0" applyFont="1" applyFill="1" applyBorder="1" applyAlignment="1" applyProtection="1">
      <alignment horizontal="right"/>
    </xf>
    <xf numFmtId="1" fontId="22" fillId="3" borderId="0" xfId="0" applyNumberFormat="1" applyFont="1" applyFill="1" applyBorder="1" applyAlignment="1" applyProtection="1"/>
    <xf numFmtId="0" fontId="22" fillId="3" borderId="0" xfId="0" applyFont="1" applyFill="1" applyBorder="1" applyAlignment="1" applyProtection="1">
      <alignment horizontal="left"/>
    </xf>
    <xf numFmtId="2" fontId="22" fillId="3" borderId="0" xfId="0" applyNumberFormat="1" applyFont="1" applyFill="1" applyBorder="1" applyAlignment="1" applyProtection="1"/>
    <xf numFmtId="2" fontId="22" fillId="3" borderId="0" xfId="3" applyNumberFormat="1" applyFont="1" applyFill="1" applyBorder="1" applyAlignment="1" applyProtection="1"/>
    <xf numFmtId="9" fontId="22" fillId="3" borderId="0" xfId="3" applyFont="1" applyFill="1" applyBorder="1" applyAlignment="1" applyProtection="1">
      <alignment horizontal="left"/>
    </xf>
    <xf numFmtId="9" fontId="16" fillId="3" borderId="0" xfId="3" applyFont="1" applyFill="1" applyBorder="1" applyProtection="1"/>
    <xf numFmtId="9" fontId="22" fillId="3" borderId="0" xfId="3" applyNumberFormat="1" applyFont="1" applyFill="1" applyBorder="1" applyAlignment="1" applyProtection="1">
      <alignment horizontal="right"/>
    </xf>
    <xf numFmtId="0" fontId="9" fillId="3" borderId="0" xfId="0" applyFont="1" applyFill="1" applyBorder="1" applyAlignment="1" applyProtection="1">
      <alignment horizontal="left"/>
    </xf>
    <xf numFmtId="0" fontId="22" fillId="3" borderId="0" xfId="0" applyFont="1" applyFill="1" applyBorder="1" applyAlignment="1" applyProtection="1">
      <alignment horizontal="right" vertical="top" wrapText="1"/>
    </xf>
    <xf numFmtId="1" fontId="22" fillId="0" borderId="0" xfId="0" applyNumberFormat="1" applyFont="1" applyProtection="1"/>
    <xf numFmtId="0" fontId="22" fillId="3" borderId="0" xfId="0" applyFont="1" applyFill="1" applyBorder="1" applyAlignment="1" applyProtection="1">
      <alignment horizontal="left" vertical="center"/>
    </xf>
    <xf numFmtId="2" fontId="22" fillId="0" borderId="0" xfId="0" applyNumberFormat="1" applyFont="1" applyProtection="1"/>
    <xf numFmtId="2" fontId="9" fillId="3" borderId="0" xfId="0" applyNumberFormat="1" applyFont="1" applyFill="1" applyBorder="1" applyAlignment="1" applyProtection="1"/>
    <xf numFmtId="165" fontId="5" fillId="3" borderId="0" xfId="0" applyNumberFormat="1" applyFont="1" applyFill="1" applyBorder="1" applyAlignment="1" applyProtection="1">
      <alignment horizontal="right"/>
    </xf>
    <xf numFmtId="0" fontId="15" fillId="3" borderId="0" xfId="0" applyFont="1" applyFill="1" applyBorder="1" applyAlignment="1" applyProtection="1">
      <alignment vertical="top"/>
    </xf>
    <xf numFmtId="0" fontId="17" fillId="3" borderId="2" xfId="0" applyFont="1" applyFill="1" applyBorder="1" applyProtection="1"/>
    <xf numFmtId="0" fontId="4" fillId="3" borderId="0" xfId="0" applyFont="1" applyFill="1" applyBorder="1" applyAlignment="1" applyProtection="1">
      <alignment vertical="center"/>
    </xf>
    <xf numFmtId="0" fontId="4" fillId="3" borderId="0" xfId="0" applyFont="1" applyFill="1" applyBorder="1" applyAlignment="1" applyProtection="1"/>
    <xf numFmtId="0" fontId="4" fillId="3" borderId="0" xfId="0" applyFont="1" applyFill="1" applyBorder="1" applyAlignment="1" applyProtection="1">
      <alignment horizontal="center"/>
    </xf>
    <xf numFmtId="0" fontId="4" fillId="3" borderId="0" xfId="0" applyFont="1" applyFill="1" applyBorder="1" applyProtection="1"/>
    <xf numFmtId="0" fontId="4" fillId="3" borderId="0" xfId="0" applyFont="1" applyFill="1" applyBorder="1" applyAlignment="1" applyProtection="1">
      <alignment horizontal="right"/>
    </xf>
    <xf numFmtId="165" fontId="4" fillId="3" borderId="0" xfId="0" applyNumberFormat="1" applyFont="1" applyFill="1" applyBorder="1" applyAlignment="1" applyProtection="1">
      <alignment horizontal="right"/>
    </xf>
    <xf numFmtId="0" fontId="4" fillId="3" borderId="0" xfId="0" applyFont="1" applyFill="1" applyBorder="1" applyAlignment="1" applyProtection="1">
      <alignment vertical="top"/>
    </xf>
    <xf numFmtId="2" fontId="5" fillId="3" borderId="0" xfId="0" applyNumberFormat="1" applyFont="1" applyFill="1" applyBorder="1" applyAlignment="1" applyProtection="1"/>
    <xf numFmtId="1" fontId="5" fillId="3" borderId="0" xfId="0" applyNumberFormat="1" applyFont="1" applyFill="1" applyBorder="1" applyProtection="1"/>
    <xf numFmtId="2" fontId="5" fillId="3" borderId="0" xfId="0" applyNumberFormat="1" applyFont="1" applyFill="1" applyBorder="1" applyProtection="1"/>
    <xf numFmtId="1" fontId="4" fillId="3" borderId="0" xfId="0" applyNumberFormat="1" applyFont="1" applyFill="1" applyBorder="1" applyAlignment="1" applyProtection="1">
      <alignment horizontal="right"/>
    </xf>
    <xf numFmtId="0" fontId="18" fillId="3" borderId="0" xfId="0" applyFont="1" applyFill="1" applyBorder="1" applyAlignment="1" applyProtection="1">
      <alignment vertical="top"/>
    </xf>
    <xf numFmtId="2" fontId="4" fillId="3" borderId="0" xfId="0" quotePrefix="1" applyNumberFormat="1" applyFont="1" applyFill="1" applyBorder="1" applyAlignment="1" applyProtection="1">
      <alignment horizontal="right"/>
    </xf>
    <xf numFmtId="1" fontId="13" fillId="3" borderId="0" xfId="0" applyNumberFormat="1" applyFont="1" applyFill="1" applyBorder="1" applyAlignment="1" applyProtection="1"/>
    <xf numFmtId="0" fontId="13" fillId="3" borderId="0" xfId="0" applyFont="1" applyFill="1" applyBorder="1" applyAlignment="1" applyProtection="1">
      <alignment vertical="center"/>
    </xf>
    <xf numFmtId="0" fontId="13" fillId="3" borderId="0" xfId="0" applyFont="1" applyFill="1" applyBorder="1" applyAlignment="1" applyProtection="1"/>
    <xf numFmtId="0" fontId="13" fillId="3" borderId="0" xfId="0" applyFont="1" applyFill="1" applyBorder="1" applyAlignment="1" applyProtection="1">
      <alignment horizontal="left"/>
    </xf>
    <xf numFmtId="0" fontId="13" fillId="3" borderId="0" xfId="0" applyFont="1" applyFill="1" applyBorder="1" applyAlignment="1" applyProtection="1">
      <alignment horizontal="right"/>
    </xf>
    <xf numFmtId="1" fontId="13" fillId="3" borderId="0" xfId="0" applyNumberFormat="1" applyFont="1" applyFill="1" applyBorder="1" applyProtection="1"/>
    <xf numFmtId="0" fontId="19" fillId="3" borderId="3" xfId="0" applyFont="1" applyFill="1" applyBorder="1" applyProtection="1"/>
    <xf numFmtId="0" fontId="22" fillId="3" borderId="12" xfId="0" applyFont="1" applyFill="1" applyBorder="1" applyAlignment="1" applyProtection="1">
      <alignment vertical="center"/>
    </xf>
    <xf numFmtId="0" fontId="22" fillId="3" borderId="12" xfId="0" applyFont="1" applyFill="1" applyBorder="1" applyAlignment="1" applyProtection="1"/>
    <xf numFmtId="0" fontId="22" fillId="3" borderId="12" xfId="0" applyFont="1" applyFill="1" applyBorder="1" applyAlignment="1" applyProtection="1">
      <alignment horizontal="center"/>
    </xf>
    <xf numFmtId="0" fontId="22" fillId="3" borderId="12" xfId="0" applyFont="1" applyFill="1" applyBorder="1" applyAlignment="1" applyProtection="1">
      <alignment horizontal="left"/>
    </xf>
    <xf numFmtId="0" fontId="22" fillId="3" borderId="12" xfId="0" applyFont="1" applyFill="1" applyBorder="1" applyProtection="1"/>
    <xf numFmtId="0" fontId="22" fillId="3" borderId="12" xfId="0" applyFont="1" applyFill="1" applyBorder="1" applyAlignment="1" applyProtection="1">
      <alignment horizontal="right"/>
    </xf>
    <xf numFmtId="1" fontId="22" fillId="3" borderId="12" xfId="0" applyNumberFormat="1" applyFont="1" applyFill="1" applyBorder="1" applyProtection="1"/>
    <xf numFmtId="1" fontId="13" fillId="3" borderId="12" xfId="0" applyNumberFormat="1" applyFont="1" applyFill="1" applyBorder="1" applyProtection="1"/>
    <xf numFmtId="3" fontId="4" fillId="2" borderId="1" xfId="0" applyNumberFormat="1" applyFont="1" applyFill="1" applyBorder="1" applyAlignment="1" applyProtection="1">
      <alignment horizontal="right" vertical="top" wrapText="1"/>
      <protection locked="0"/>
    </xf>
    <xf numFmtId="3" fontId="4" fillId="2" borderId="5" xfId="0" applyNumberFormat="1" applyFont="1" applyFill="1" applyBorder="1" applyAlignment="1" applyProtection="1">
      <alignment horizontal="right" vertical="top" wrapText="1"/>
      <protection locked="0"/>
    </xf>
    <xf numFmtId="3" fontId="4" fillId="2" borderId="1" xfId="0" applyNumberFormat="1" applyFont="1" applyFill="1" applyBorder="1" applyAlignment="1" applyProtection="1">
      <alignment horizontal="right"/>
      <protection locked="0"/>
    </xf>
    <xf numFmtId="0" fontId="6" fillId="4" borderId="0" xfId="0" applyFont="1" applyFill="1" applyProtection="1"/>
    <xf numFmtId="10" fontId="6" fillId="4" borderId="0" xfId="1" applyNumberFormat="1" applyFont="1" applyFill="1" applyProtection="1"/>
    <xf numFmtId="1" fontId="22" fillId="3" borderId="0" xfId="0" applyNumberFormat="1" applyFont="1" applyFill="1" applyBorder="1" applyProtection="1"/>
    <xf numFmtId="9" fontId="4" fillId="2" borderId="1" xfId="3" applyFont="1" applyFill="1" applyBorder="1" applyAlignment="1" applyProtection="1">
      <alignment horizontal="right"/>
      <protection locked="0"/>
    </xf>
    <xf numFmtId="0" fontId="6" fillId="0" borderId="0" xfId="0" applyFont="1" applyBorder="1" applyAlignment="1">
      <alignment wrapText="1"/>
    </xf>
    <xf numFmtId="0" fontId="6" fillId="0" borderId="12" xfId="0" applyFont="1" applyFill="1" applyBorder="1" applyAlignment="1">
      <alignment vertical="center"/>
    </xf>
    <xf numFmtId="0" fontId="6" fillId="0" borderId="12" xfId="0" applyFont="1" applyBorder="1" applyAlignment="1"/>
    <xf numFmtId="0" fontId="6" fillId="0" borderId="12" xfId="0" applyFont="1" applyBorder="1" applyAlignment="1">
      <alignment wrapText="1"/>
    </xf>
    <xf numFmtId="0" fontId="6" fillId="0" borderId="0" xfId="0" applyFont="1" applyFill="1" applyBorder="1" applyAlignment="1">
      <alignment vertical="center"/>
    </xf>
    <xf numFmtId="0" fontId="6" fillId="0" borderId="0" xfId="0" applyFont="1" applyFill="1" applyBorder="1" applyAlignment="1">
      <alignment vertical="center" wrapText="1"/>
    </xf>
    <xf numFmtId="0" fontId="6" fillId="0" borderId="12" xfId="0" applyFont="1" applyFill="1" applyBorder="1" applyAlignment="1">
      <alignment vertical="center" wrapText="1"/>
    </xf>
    <xf numFmtId="0" fontId="6" fillId="0" borderId="0" xfId="0" applyFont="1" applyBorder="1" applyAlignment="1">
      <alignment vertical="center" wrapText="1"/>
    </xf>
    <xf numFmtId="2" fontId="4" fillId="2" borderId="1" xfId="3" applyNumberFormat="1" applyFont="1" applyFill="1" applyBorder="1" applyAlignment="1" applyProtection="1">
      <alignment horizontal="right"/>
      <protection locked="0"/>
    </xf>
    <xf numFmtId="2" fontId="12" fillId="0" borderId="0" xfId="0" applyNumberFormat="1" applyFont="1" applyBorder="1" applyAlignment="1" applyProtection="1"/>
    <xf numFmtId="0" fontId="27" fillId="0" borderId="0" xfId="0" applyFont="1" applyBorder="1" applyAlignment="1" applyProtection="1"/>
    <xf numFmtId="0" fontId="28" fillId="0" borderId="15" xfId="0" applyFont="1" applyBorder="1" applyAlignment="1" applyProtection="1"/>
    <xf numFmtId="0" fontId="27" fillId="0" borderId="0" xfId="0" applyFont="1" applyBorder="1" applyAlignment="1" applyProtection="1">
      <alignment vertical="center"/>
    </xf>
    <xf numFmtId="0" fontId="27" fillId="3" borderId="0" xfId="0" applyFont="1" applyFill="1" applyBorder="1" applyAlignment="1" applyProtection="1"/>
    <xf numFmtId="2" fontId="27" fillId="3" borderId="0" xfId="3" applyNumberFormat="1" applyFont="1" applyFill="1" applyBorder="1" applyAlignment="1" applyProtection="1"/>
    <xf numFmtId="2" fontId="27" fillId="3" borderId="0" xfId="0" applyNumberFormat="1" applyFont="1" applyFill="1" applyBorder="1" applyAlignment="1" applyProtection="1"/>
    <xf numFmtId="0" fontId="29" fillId="3" borderId="0" xfId="0" applyFont="1" applyFill="1" applyBorder="1" applyAlignment="1" applyProtection="1"/>
    <xf numFmtId="2" fontId="29" fillId="3" borderId="0" xfId="0" applyNumberFormat="1" applyFont="1" applyFill="1" applyBorder="1" applyAlignment="1" applyProtection="1"/>
    <xf numFmtId="9" fontId="27" fillId="3" borderId="0" xfId="3" applyFont="1" applyFill="1" applyBorder="1" applyAlignment="1" applyProtection="1">
      <alignment horizontal="left"/>
    </xf>
    <xf numFmtId="0" fontId="27" fillId="3" borderId="0" xfId="0" applyFont="1" applyFill="1" applyBorder="1" applyAlignment="1" applyProtection="1">
      <alignment horizontal="left"/>
    </xf>
    <xf numFmtId="0" fontId="29" fillId="3" borderId="0" xfId="0" applyFont="1" applyFill="1" applyBorder="1" applyAlignment="1" applyProtection="1">
      <alignment horizontal="left"/>
    </xf>
    <xf numFmtId="0" fontId="27" fillId="0" borderId="9" xfId="0" applyFont="1" applyBorder="1" applyAlignment="1" applyProtection="1"/>
    <xf numFmtId="1" fontId="27" fillId="0" borderId="9" xfId="0" applyNumberFormat="1" applyFont="1" applyBorder="1" applyProtection="1"/>
    <xf numFmtId="0" fontId="4" fillId="2" borderId="1" xfId="0" applyFont="1" applyFill="1" applyBorder="1" applyAlignment="1" applyProtection="1">
      <alignment horizontal="left"/>
      <protection locked="0"/>
    </xf>
    <xf numFmtId="2" fontId="6" fillId="0" borderId="0" xfId="0" applyNumberFormat="1" applyFont="1" applyFill="1" applyBorder="1" applyProtection="1"/>
    <xf numFmtId="9" fontId="4" fillId="2" borderId="1" xfId="3" applyFont="1" applyFill="1" applyBorder="1" applyProtection="1">
      <protection locked="0"/>
    </xf>
    <xf numFmtId="3" fontId="6" fillId="0" borderId="0" xfId="0" applyNumberFormat="1" applyFont="1" applyProtection="1"/>
    <xf numFmtId="0" fontId="5" fillId="0" borderId="10" xfId="0" applyFont="1" applyFill="1" applyBorder="1" applyAlignment="1" applyProtection="1">
      <alignment horizontal="center"/>
    </xf>
    <xf numFmtId="164" fontId="22" fillId="0" borderId="0" xfId="0" applyNumberFormat="1" applyFont="1" applyProtection="1"/>
    <xf numFmtId="3" fontId="6" fillId="0" borderId="9" xfId="0" applyNumberFormat="1" applyFont="1" applyBorder="1" applyProtection="1"/>
    <xf numFmtId="0" fontId="20" fillId="0" borderId="1" xfId="0" applyFont="1" applyBorder="1" applyAlignment="1">
      <alignment wrapText="1"/>
    </xf>
    <xf numFmtId="0" fontId="20" fillId="0" borderId="1" xfId="0" applyFont="1" applyBorder="1" applyAlignment="1">
      <alignment horizontal="center" wrapText="1"/>
    </xf>
    <xf numFmtId="0" fontId="11" fillId="0" borderId="1" xfId="0" applyFont="1" applyBorder="1" applyAlignment="1">
      <alignment horizontal="left" wrapText="1"/>
    </xf>
    <xf numFmtId="0" fontId="11" fillId="0" borderId="1" xfId="0" applyFont="1" applyBorder="1"/>
    <xf numFmtId="0" fontId="21" fillId="0" borderId="1" xfId="0" applyFont="1" applyBorder="1" applyAlignment="1">
      <alignment horizontal="center"/>
    </xf>
    <xf numFmtId="0" fontId="21" fillId="0" borderId="1" xfId="0" applyFont="1" applyBorder="1" applyAlignment="1">
      <alignment horizontal="center" wrapText="1"/>
    </xf>
    <xf numFmtId="0" fontId="31" fillId="0" borderId="1" xfId="0" applyFont="1" applyBorder="1" applyAlignment="1">
      <alignment horizontal="center" wrapText="1"/>
    </xf>
    <xf numFmtId="0" fontId="30" fillId="0" borderId="0" xfId="0" applyFont="1" applyBorder="1" applyAlignment="1" applyProtection="1">
      <alignment horizontal="right"/>
    </xf>
    <xf numFmtId="3" fontId="6" fillId="0" borderId="0" xfId="0" applyNumberFormat="1" applyFont="1" applyFill="1" applyBorder="1" applyAlignment="1" applyProtection="1">
      <alignment horizontal="right"/>
    </xf>
    <xf numFmtId="0" fontId="27" fillId="0" borderId="0" xfId="0" applyFont="1" applyBorder="1" applyAlignment="1" applyProtection="1">
      <alignment horizontal="right"/>
    </xf>
    <xf numFmtId="0" fontId="7" fillId="0" borderId="0" xfId="0" applyFont="1" applyBorder="1" applyAlignment="1" applyProtection="1">
      <alignment horizontal="center"/>
    </xf>
    <xf numFmtId="0" fontId="20" fillId="5" borderId="1" xfId="0" applyFont="1" applyFill="1" applyBorder="1" applyAlignment="1" applyProtection="1">
      <alignment wrapText="1"/>
      <protection locked="0"/>
    </xf>
    <xf numFmtId="0" fontId="20" fillId="5" borderId="1" xfId="0" applyFont="1" applyFill="1" applyBorder="1" applyAlignment="1" applyProtection="1">
      <alignment horizontal="center" wrapText="1"/>
      <protection locked="0"/>
    </xf>
    <xf numFmtId="0" fontId="7" fillId="0" borderId="18" xfId="0" applyFont="1" applyBorder="1"/>
    <xf numFmtId="0" fontId="6" fillId="0" borderId="17" xfId="0" applyFont="1" applyBorder="1" applyAlignment="1">
      <alignment vertical="center"/>
    </xf>
    <xf numFmtId="0" fontId="6" fillId="0" borderId="17" xfId="0" applyFont="1" applyBorder="1" applyAlignment="1">
      <alignment vertical="center" wrapText="1"/>
    </xf>
    <xf numFmtId="0" fontId="7" fillId="0" borderId="19" xfId="0" applyFont="1" applyBorder="1"/>
    <xf numFmtId="0" fontId="6" fillId="0" borderId="1" xfId="0" applyFont="1" applyBorder="1" applyAlignment="1">
      <alignment vertical="center"/>
    </xf>
    <xf numFmtId="0" fontId="27" fillId="0" borderId="1" xfId="0" applyFont="1" applyBorder="1" applyAlignment="1">
      <alignment vertical="center"/>
    </xf>
    <xf numFmtId="0" fontId="6" fillId="0" borderId="1" xfId="0" applyFont="1" applyBorder="1" applyAlignment="1">
      <alignment vertical="center" wrapText="1"/>
    </xf>
    <xf numFmtId="0" fontId="7" fillId="0" borderId="19" xfId="0" applyFont="1" applyBorder="1" applyAlignment="1">
      <alignment horizontal="left"/>
    </xf>
    <xf numFmtId="0" fontId="7" fillId="0" borderId="20" xfId="0" applyFont="1" applyBorder="1" applyAlignment="1">
      <alignment horizontal="left"/>
    </xf>
    <xf numFmtId="0" fontId="6" fillId="0" borderId="21" xfId="0" applyFont="1" applyBorder="1" applyAlignment="1">
      <alignment vertical="center"/>
    </xf>
    <xf numFmtId="0" fontId="6" fillId="0" borderId="21" xfId="0" applyFont="1" applyBorder="1" applyAlignment="1">
      <alignment vertical="center" wrapText="1"/>
    </xf>
    <xf numFmtId="0" fontId="6" fillId="0" borderId="22" xfId="0" applyFont="1" applyBorder="1"/>
    <xf numFmtId="0" fontId="6" fillId="0" borderId="23" xfId="0" applyFont="1" applyBorder="1" applyAlignment="1">
      <alignment vertical="center"/>
    </xf>
    <xf numFmtId="0" fontId="10" fillId="0" borderId="23" xfId="0" applyFont="1" applyBorder="1" applyAlignment="1">
      <alignment vertical="center"/>
    </xf>
    <xf numFmtId="0" fontId="6" fillId="0" borderId="23" xfId="0" applyFont="1" applyBorder="1" applyAlignment="1">
      <alignment vertical="center" wrapText="1"/>
    </xf>
    <xf numFmtId="0" fontId="6" fillId="0" borderId="19" xfId="0" applyFont="1" applyBorder="1"/>
    <xf numFmtId="0" fontId="10" fillId="0" borderId="1" xfId="0" applyFont="1" applyBorder="1" applyAlignment="1">
      <alignment vertical="center"/>
    </xf>
    <xf numFmtId="0" fontId="6" fillId="0" borderId="1" xfId="0" applyFont="1" applyFill="1" applyBorder="1" applyAlignment="1">
      <alignment vertical="center"/>
    </xf>
    <xf numFmtId="0" fontId="6" fillId="0" borderId="21" xfId="0" applyFont="1" applyFill="1" applyBorder="1" applyAlignment="1">
      <alignment vertical="center"/>
    </xf>
    <xf numFmtId="0" fontId="27" fillId="0" borderId="21" xfId="0" applyFont="1" applyBorder="1" applyAlignment="1">
      <alignment vertical="center"/>
    </xf>
    <xf numFmtId="0" fontId="6" fillId="0" borderId="19" xfId="0" applyFont="1" applyBorder="1" applyAlignment="1">
      <alignment vertical="center"/>
    </xf>
    <xf numFmtId="0" fontId="0" fillId="0" borderId="24" xfId="0" applyBorder="1"/>
    <xf numFmtId="0" fontId="7" fillId="0" borderId="25" xfId="0" applyFont="1" applyBorder="1" applyAlignment="1">
      <alignment vertical="center"/>
    </xf>
    <xf numFmtId="0" fontId="6" fillId="0" borderId="26" xfId="0" applyFont="1" applyFill="1" applyBorder="1" applyAlignment="1">
      <alignment vertical="center"/>
    </xf>
    <xf numFmtId="0" fontId="6" fillId="0" borderId="26" xfId="0" applyFont="1" applyBorder="1" applyAlignment="1"/>
    <xf numFmtId="0" fontId="6" fillId="0" borderId="26" xfId="0" applyFont="1" applyBorder="1" applyAlignment="1">
      <alignment wrapText="1"/>
    </xf>
    <xf numFmtId="0" fontId="5" fillId="0" borderId="15" xfId="0" applyFont="1" applyBorder="1" applyAlignment="1"/>
    <xf numFmtId="0" fontId="0" fillId="0" borderId="21" xfId="0" applyBorder="1" applyAlignment="1">
      <alignment vertical="center" wrapText="1"/>
    </xf>
    <xf numFmtId="0" fontId="0" fillId="3" borderId="0" xfId="0" applyFill="1" applyBorder="1" applyProtection="1"/>
    <xf numFmtId="0" fontId="0" fillId="3" borderId="0" xfId="0" applyFill="1" applyBorder="1" applyAlignment="1" applyProtection="1">
      <alignment horizontal="left"/>
    </xf>
    <xf numFmtId="0" fontId="20" fillId="0" borderId="0" xfId="0" applyFont="1" applyBorder="1" applyAlignment="1" applyProtection="1">
      <alignment wrapText="1"/>
    </xf>
    <xf numFmtId="0" fontId="20" fillId="0" borderId="0" xfId="0" applyFont="1" applyBorder="1" applyAlignment="1" applyProtection="1">
      <alignment horizontal="center" wrapText="1"/>
    </xf>
    <xf numFmtId="0" fontId="11" fillId="0" borderId="0" xfId="0" applyFont="1" applyProtection="1"/>
    <xf numFmtId="0" fontId="0" fillId="0" borderId="9" xfId="0" applyBorder="1" applyProtection="1"/>
    <xf numFmtId="0" fontId="26" fillId="0" borderId="0" xfId="0" applyFont="1" applyBorder="1" applyAlignment="1" applyProtection="1">
      <alignment horizontal="center"/>
    </xf>
    <xf numFmtId="0" fontId="0" fillId="0" borderId="0" xfId="0" applyBorder="1" applyAlignment="1" applyProtection="1">
      <alignment vertical="center"/>
    </xf>
    <xf numFmtId="0" fontId="23" fillId="2" borderId="7" xfId="0" applyFont="1" applyFill="1" applyBorder="1" applyAlignment="1" applyProtection="1">
      <alignment horizontal="left"/>
      <protection locked="0"/>
    </xf>
    <xf numFmtId="0" fontId="23" fillId="2" borderId="0" xfId="0" applyFont="1" applyFill="1" applyBorder="1" applyAlignment="1" applyProtection="1">
      <alignment horizontal="left"/>
      <protection locked="0"/>
    </xf>
    <xf numFmtId="0" fontId="23" fillId="2" borderId="12" xfId="0" applyFont="1" applyFill="1" applyBorder="1" applyAlignment="1" applyProtection="1">
      <alignment horizontal="left"/>
      <protection locked="0"/>
    </xf>
    <xf numFmtId="0" fontId="5" fillId="0" borderId="0" xfId="0" applyFont="1" applyBorder="1" applyAlignment="1" applyProtection="1">
      <alignment horizontal="center" wrapText="1"/>
    </xf>
    <xf numFmtId="9" fontId="4" fillId="2" borderId="15" xfId="0" applyNumberFormat="1" applyFont="1" applyFill="1" applyBorder="1" applyAlignment="1" applyProtection="1">
      <alignment horizontal="right"/>
      <protection locked="0"/>
    </xf>
    <xf numFmtId="0" fontId="5" fillId="0" borderId="15" xfId="0" applyFont="1" applyBorder="1" applyAlignment="1" applyProtection="1">
      <alignment horizontal="center"/>
      <protection locked="0"/>
    </xf>
    <xf numFmtId="3" fontId="0" fillId="0" borderId="10" xfId="0" applyNumberFormat="1" applyFont="1" applyBorder="1" applyProtection="1"/>
    <xf numFmtId="0" fontId="0" fillId="0" borderId="1" xfId="0" applyBorder="1" applyAlignment="1">
      <alignment horizontal="left" wrapText="1"/>
    </xf>
    <xf numFmtId="0" fontId="6" fillId="0" borderId="1" xfId="0" applyFont="1" applyBorder="1" applyAlignment="1">
      <alignment horizontal="left" wrapText="1"/>
    </xf>
    <xf numFmtId="0" fontId="6" fillId="0" borderId="27" xfId="0" applyFont="1" applyBorder="1" applyAlignment="1">
      <alignment horizontal="left" wrapText="1"/>
    </xf>
    <xf numFmtId="0" fontId="6" fillId="0" borderId="1" xfId="0" applyFont="1" applyBorder="1" applyAlignment="1">
      <alignment horizontal="left" vertical="top" wrapText="1"/>
    </xf>
    <xf numFmtId="0" fontId="6" fillId="0" borderId="27" xfId="0" applyFont="1" applyBorder="1" applyAlignment="1">
      <alignment horizontal="left" vertical="top" wrapText="1"/>
    </xf>
    <xf numFmtId="0" fontId="6" fillId="0" borderId="0" xfId="0" applyFont="1" applyBorder="1" applyAlignment="1">
      <alignment horizontal="left" wrapText="1"/>
    </xf>
    <xf numFmtId="0" fontId="6" fillId="0" borderId="4" xfId="0" applyFont="1" applyBorder="1" applyAlignment="1">
      <alignment horizontal="left" wrapText="1"/>
    </xf>
    <xf numFmtId="0" fontId="6" fillId="0" borderId="12" xfId="0" applyFont="1" applyBorder="1" applyAlignment="1">
      <alignment horizontal="left" wrapText="1"/>
    </xf>
    <xf numFmtId="0" fontId="6" fillId="0" borderId="28" xfId="0" applyFont="1" applyBorder="1" applyAlignment="1">
      <alignment horizontal="left" wrapText="1"/>
    </xf>
    <xf numFmtId="0" fontId="6" fillId="0" borderId="21" xfId="0" applyFont="1" applyBorder="1" applyAlignment="1">
      <alignment horizontal="left" wrapText="1"/>
    </xf>
    <xf numFmtId="0" fontId="6" fillId="0" borderId="29" xfId="0" applyFont="1" applyBorder="1" applyAlignment="1">
      <alignment horizontal="left" wrapText="1"/>
    </xf>
    <xf numFmtId="0" fontId="7" fillId="0" borderId="30" xfId="0" applyFont="1" applyBorder="1" applyAlignment="1">
      <alignment horizontal="left"/>
    </xf>
    <xf numFmtId="0" fontId="7" fillId="0" borderId="31" xfId="0" applyFont="1" applyBorder="1" applyAlignment="1">
      <alignment horizontal="left"/>
    </xf>
    <xf numFmtId="0" fontId="7" fillId="0" borderId="32" xfId="0" applyFont="1" applyBorder="1" applyAlignment="1">
      <alignment horizontal="left"/>
    </xf>
    <xf numFmtId="0" fontId="6" fillId="0" borderId="23" xfId="0" applyFont="1" applyBorder="1" applyAlignment="1">
      <alignment horizontal="left"/>
    </xf>
    <xf numFmtId="0" fontId="6" fillId="0" borderId="33" xfId="0" applyFont="1" applyBorder="1" applyAlignment="1">
      <alignment horizontal="left"/>
    </xf>
    <xf numFmtId="0" fontId="6" fillId="0" borderId="17" xfId="0" applyFont="1" applyBorder="1" applyAlignment="1">
      <alignment horizontal="left" wrapText="1"/>
    </xf>
    <xf numFmtId="0" fontId="6" fillId="0" borderId="34" xfId="0" applyFont="1" applyBorder="1" applyAlignment="1">
      <alignment horizontal="left" wrapText="1"/>
    </xf>
    <xf numFmtId="4" fontId="0" fillId="0" borderId="2" xfId="0" applyNumberFormat="1" applyBorder="1" applyAlignment="1">
      <alignment horizontal="left" wrapText="1"/>
    </xf>
    <xf numFmtId="4" fontId="6" fillId="0" borderId="0" xfId="0" applyNumberFormat="1" applyFont="1" applyBorder="1" applyAlignment="1">
      <alignment horizontal="left" wrapText="1"/>
    </xf>
    <xf numFmtId="4" fontId="6" fillId="0" borderId="4" xfId="0" applyNumberFormat="1" applyFont="1" applyBorder="1" applyAlignment="1">
      <alignment horizontal="left" wrapText="1"/>
    </xf>
    <xf numFmtId="4" fontId="6" fillId="0" borderId="2" xfId="0" applyNumberFormat="1" applyFont="1" applyBorder="1" applyAlignment="1">
      <alignment horizontal="left" wrapText="1"/>
    </xf>
    <xf numFmtId="0" fontId="6" fillId="0" borderId="1" xfId="0" applyFont="1" applyBorder="1" applyAlignment="1">
      <alignment horizontal="left"/>
    </xf>
    <xf numFmtId="0" fontId="6" fillId="0" borderId="27" xfId="0" applyFont="1" applyBorder="1" applyAlignment="1">
      <alignment horizontal="left"/>
    </xf>
    <xf numFmtId="0" fontId="23" fillId="2" borderId="5" xfId="0" applyFont="1" applyFill="1" applyBorder="1" applyAlignment="1" applyProtection="1">
      <alignment horizontal="left"/>
      <protection locked="0"/>
    </xf>
    <xf numFmtId="0" fontId="23" fillId="2" borderId="39" xfId="0" applyFont="1" applyFill="1" applyBorder="1" applyAlignment="1" applyProtection="1">
      <alignment horizontal="left"/>
      <protection locked="0"/>
    </xf>
    <xf numFmtId="0" fontId="23" fillId="2" borderId="41" xfId="0" applyFont="1" applyFill="1" applyBorder="1" applyAlignment="1" applyProtection="1">
      <alignment horizontal="left"/>
      <protection locked="0"/>
    </xf>
    <xf numFmtId="0" fontId="5" fillId="0" borderId="22" xfId="0" applyFont="1" applyBorder="1" applyAlignment="1">
      <alignment horizontal="left"/>
    </xf>
    <xf numFmtId="0" fontId="5" fillId="0" borderId="23" xfId="0" applyFont="1" applyBorder="1" applyAlignment="1">
      <alignment horizontal="left"/>
    </xf>
    <xf numFmtId="0" fontId="5" fillId="0" borderId="19" xfId="0" applyFont="1" applyBorder="1" applyAlignment="1">
      <alignment horizontal="left"/>
    </xf>
    <xf numFmtId="0" fontId="5" fillId="0" borderId="1" xfId="0" applyFont="1" applyBorder="1" applyAlignment="1">
      <alignment horizontal="left"/>
    </xf>
    <xf numFmtId="0" fontId="6" fillId="0" borderId="3" xfId="0" applyFont="1" applyBorder="1" applyAlignment="1">
      <alignment horizontal="center"/>
    </xf>
    <xf numFmtId="0" fontId="6" fillId="0" borderId="12" xfId="0" applyFont="1" applyBorder="1" applyAlignment="1">
      <alignment horizontal="center"/>
    </xf>
    <xf numFmtId="0" fontId="6" fillId="0" borderId="28" xfId="0" applyFont="1" applyBorder="1" applyAlignment="1">
      <alignment horizontal="center"/>
    </xf>
    <xf numFmtId="0" fontId="6" fillId="0" borderId="7" xfId="0" applyFont="1" applyBorder="1" applyAlignment="1">
      <alignment horizontal="center"/>
    </xf>
    <xf numFmtId="0" fontId="6" fillId="0" borderId="46" xfId="0" applyFont="1" applyBorder="1" applyAlignment="1">
      <alignment horizontal="center"/>
    </xf>
    <xf numFmtId="0" fontId="0" fillId="0" borderId="3" xfId="0" applyBorder="1" applyAlignment="1">
      <alignment horizontal="left" vertical="top" wrapText="1"/>
    </xf>
    <xf numFmtId="0" fontId="6" fillId="0" borderId="12" xfId="0" applyFont="1" applyBorder="1" applyAlignment="1">
      <alignment horizontal="left" vertical="top" wrapText="1"/>
    </xf>
    <xf numFmtId="0" fontId="6" fillId="0" borderId="28" xfId="0" applyFont="1" applyBorder="1" applyAlignment="1">
      <alignment horizontal="left" vertical="top" wrapText="1"/>
    </xf>
    <xf numFmtId="0" fontId="5" fillId="0" borderId="20" xfId="0" applyFont="1" applyBorder="1" applyAlignment="1">
      <alignment horizontal="left"/>
    </xf>
    <xf numFmtId="0" fontId="5" fillId="0" borderId="21" xfId="0" applyFont="1" applyBorder="1" applyAlignment="1">
      <alignment horizontal="left"/>
    </xf>
    <xf numFmtId="0" fontId="7" fillId="0" borderId="25" xfId="0" applyFont="1" applyBorder="1" applyAlignment="1">
      <alignment horizontal="center"/>
    </xf>
    <xf numFmtId="0" fontId="7" fillId="0" borderId="26" xfId="0" applyFont="1" applyBorder="1" applyAlignment="1">
      <alignment horizontal="center"/>
    </xf>
    <xf numFmtId="0" fontId="7" fillId="0" borderId="35" xfId="0" applyFont="1" applyBorder="1" applyAlignment="1">
      <alignment horizontal="center"/>
    </xf>
    <xf numFmtId="0" fontId="6" fillId="0" borderId="21" xfId="0" applyFont="1" applyBorder="1" applyAlignment="1">
      <alignment horizontal="left"/>
    </xf>
    <xf numFmtId="0" fontId="6" fillId="0" borderId="29" xfId="0" applyFont="1" applyBorder="1" applyAlignment="1">
      <alignment horizontal="left"/>
    </xf>
    <xf numFmtId="0" fontId="7" fillId="0" borderId="25" xfId="0" applyFont="1" applyBorder="1" applyAlignment="1">
      <alignment horizontal="center" vertical="center"/>
    </xf>
    <xf numFmtId="0" fontId="7" fillId="0" borderId="26" xfId="0" applyFont="1" applyBorder="1" applyAlignment="1">
      <alignment horizontal="center" vertical="center"/>
    </xf>
    <xf numFmtId="0" fontId="7" fillId="0" borderId="35" xfId="0" applyFont="1" applyBorder="1" applyAlignment="1">
      <alignment horizontal="center" vertical="center"/>
    </xf>
    <xf numFmtId="0" fontId="5" fillId="0" borderId="15" xfId="0" applyFont="1" applyBorder="1" applyAlignment="1">
      <alignment horizontal="left"/>
    </xf>
    <xf numFmtId="0" fontId="5" fillId="0" borderId="42" xfId="0" applyFont="1" applyBorder="1" applyAlignment="1">
      <alignment horizontal="left"/>
    </xf>
    <xf numFmtId="0" fontId="5" fillId="0" borderId="43" xfId="0" applyFont="1" applyBorder="1" applyAlignment="1">
      <alignment horizontal="left"/>
    </xf>
    <xf numFmtId="0" fontId="6" fillId="0" borderId="44" xfId="0" applyFont="1" applyBorder="1" applyAlignment="1">
      <alignment horizontal="left" wrapText="1"/>
    </xf>
    <xf numFmtId="0" fontId="6" fillId="0" borderId="45" xfId="0" applyFont="1" applyBorder="1" applyAlignment="1">
      <alignment horizontal="left" wrapText="1"/>
    </xf>
    <xf numFmtId="0" fontId="6" fillId="0" borderId="26" xfId="0" applyFont="1" applyBorder="1" applyAlignment="1">
      <alignment horizontal="left" wrapText="1"/>
    </xf>
    <xf numFmtId="0" fontId="6" fillId="0" borderId="35" xfId="0" applyFont="1" applyBorder="1" applyAlignment="1">
      <alignment horizontal="left" wrapText="1"/>
    </xf>
    <xf numFmtId="0" fontId="6" fillId="4" borderId="25" xfId="0" applyFont="1" applyFill="1" applyBorder="1" applyAlignment="1">
      <alignment horizontal="left" wrapText="1"/>
    </xf>
    <xf numFmtId="0" fontId="6" fillId="4" borderId="26" xfId="0" applyFont="1" applyFill="1" applyBorder="1" applyAlignment="1">
      <alignment horizontal="left" wrapText="1"/>
    </xf>
    <xf numFmtId="0" fontId="6" fillId="4" borderId="35" xfId="0" applyFont="1" applyFill="1" applyBorder="1" applyAlignment="1">
      <alignment horizontal="left" wrapText="1"/>
    </xf>
    <xf numFmtId="0" fontId="6" fillId="0" borderId="23" xfId="0" applyFont="1" applyBorder="1" applyAlignment="1">
      <alignment horizontal="left" wrapText="1"/>
    </xf>
    <xf numFmtId="0" fontId="6" fillId="0" borderId="33" xfId="0" applyFont="1" applyBorder="1" applyAlignment="1">
      <alignment horizontal="left" wrapText="1"/>
    </xf>
    <xf numFmtId="0" fontId="6" fillId="4" borderId="36" xfId="0" applyFont="1" applyFill="1" applyBorder="1" applyAlignment="1">
      <alignment horizontal="left" vertical="center" wrapText="1"/>
    </xf>
    <xf numFmtId="0" fontId="6" fillId="4" borderId="37" xfId="0" applyFont="1" applyFill="1" applyBorder="1" applyAlignment="1">
      <alignment horizontal="left" vertical="center" wrapText="1"/>
    </xf>
    <xf numFmtId="0" fontId="6" fillId="4" borderId="24" xfId="0" applyFont="1" applyFill="1" applyBorder="1" applyAlignment="1">
      <alignment horizontal="left" vertical="center" wrapText="1"/>
    </xf>
    <xf numFmtId="0" fontId="6" fillId="4" borderId="3" xfId="0" applyFont="1" applyFill="1" applyBorder="1" applyAlignment="1">
      <alignment horizontal="left" vertical="center" wrapText="1"/>
    </xf>
    <xf numFmtId="0" fontId="6" fillId="4" borderId="12" xfId="0" applyFont="1" applyFill="1" applyBorder="1" applyAlignment="1">
      <alignment horizontal="left" vertical="center" wrapText="1"/>
    </xf>
    <xf numFmtId="0" fontId="6" fillId="4" borderId="28" xfId="0" applyFont="1" applyFill="1" applyBorder="1" applyAlignment="1">
      <alignment horizontal="left" vertical="center" wrapText="1"/>
    </xf>
    <xf numFmtId="0" fontId="6" fillId="0" borderId="21" xfId="0" applyFont="1" applyBorder="1" applyAlignment="1">
      <alignment horizontal="left" vertical="top" wrapText="1"/>
    </xf>
    <xf numFmtId="0" fontId="6" fillId="0" borderId="29" xfId="0" applyFont="1" applyBorder="1" applyAlignment="1">
      <alignment horizontal="left" vertical="top" wrapText="1"/>
    </xf>
    <xf numFmtId="0" fontId="7" fillId="0" borderId="38" xfId="0" applyFont="1" applyBorder="1" applyAlignment="1">
      <alignment horizontal="left"/>
    </xf>
    <xf numFmtId="0" fontId="7" fillId="0" borderId="39" xfId="0" applyFont="1" applyBorder="1" applyAlignment="1">
      <alignment horizontal="left"/>
    </xf>
    <xf numFmtId="0" fontId="7" fillId="0" borderId="40" xfId="0" applyFont="1" applyBorder="1" applyAlignment="1">
      <alignment horizontal="left"/>
    </xf>
    <xf numFmtId="0" fontId="5" fillId="0" borderId="36" xfId="0" applyFont="1" applyBorder="1" applyAlignment="1">
      <alignment horizontal="center"/>
    </xf>
    <xf numFmtId="0" fontId="5" fillId="0" borderId="37" xfId="0" applyFont="1" applyBorder="1" applyAlignment="1">
      <alignment horizontal="center"/>
    </xf>
    <xf numFmtId="0" fontId="6" fillId="0" borderId="2" xfId="0" applyFont="1" applyBorder="1" applyAlignment="1">
      <alignment horizontal="center"/>
    </xf>
    <xf numFmtId="0" fontId="6" fillId="0" borderId="0" xfId="0" applyFont="1" applyBorder="1" applyAlignment="1">
      <alignment horizontal="center"/>
    </xf>
    <xf numFmtId="0" fontId="6" fillId="0" borderId="4" xfId="0" applyFont="1" applyBorder="1" applyAlignment="1">
      <alignment horizontal="center"/>
    </xf>
    <xf numFmtId="4" fontId="6" fillId="0" borderId="15" xfId="0" applyNumberFormat="1" applyFont="1" applyBorder="1" applyAlignment="1">
      <alignment horizontal="center" wrapText="1"/>
    </xf>
    <xf numFmtId="4" fontId="6" fillId="0" borderId="42" xfId="0" applyNumberFormat="1" applyFont="1" applyBorder="1" applyAlignment="1">
      <alignment horizontal="center" wrapText="1"/>
    </xf>
    <xf numFmtId="0" fontId="0" fillId="0" borderId="2" xfId="0" applyBorder="1" applyAlignment="1">
      <alignment horizontal="left" wrapText="1"/>
    </xf>
    <xf numFmtId="0" fontId="6" fillId="0" borderId="2" xfId="0" applyFont="1" applyBorder="1" applyAlignment="1">
      <alignment horizontal="left" wrapText="1"/>
    </xf>
    <xf numFmtId="0" fontId="23" fillId="2" borderId="1" xfId="0" applyFont="1" applyFill="1" applyBorder="1" applyAlignment="1" applyProtection="1">
      <alignment horizontal="left"/>
      <protection locked="0"/>
    </xf>
    <xf numFmtId="0" fontId="23" fillId="2" borderId="21" xfId="0" applyFont="1" applyFill="1" applyBorder="1" applyAlignment="1" applyProtection="1">
      <alignment horizontal="left"/>
      <protection locked="0"/>
    </xf>
    <xf numFmtId="0" fontId="21" fillId="0" borderId="1" xfId="0" applyFont="1" applyBorder="1" applyAlignment="1">
      <alignment horizontal="center"/>
    </xf>
  </cellXfs>
  <cellStyles count="4">
    <cellStyle name="Comma" xfId="1" builtinId="3"/>
    <cellStyle name="Hyperlink" xfId="2" builtinId="8"/>
    <cellStyle name="Normal" xfId="0" builtinId="0"/>
    <cellStyle name="Percent" xfId="3" builtinId="5"/>
  </cellStyles>
  <dxfs count="79">
    <dxf>
      <font>
        <b/>
        <i val="0"/>
        <strike/>
        <condense val="0"/>
        <extend val="0"/>
        <color indexed="10"/>
      </font>
    </dxf>
    <dxf>
      <font>
        <condense val="0"/>
        <extend val="0"/>
        <color indexed="9"/>
      </font>
      <fill>
        <patternFill>
          <bgColor indexed="9"/>
        </patternFill>
      </fill>
      <border>
        <left style="hair">
          <color indexed="64"/>
        </left>
        <right style="hair">
          <color indexed="64"/>
        </right>
        <top style="thin">
          <color indexed="64"/>
        </top>
        <bottom style="hair">
          <color indexed="64"/>
        </bottom>
      </border>
    </dxf>
    <dxf>
      <font>
        <condense val="0"/>
        <extend val="0"/>
        <color indexed="9"/>
      </font>
      <fill>
        <patternFill>
          <bgColor indexed="9"/>
        </patternFill>
      </fill>
      <border>
        <left style="hair">
          <color indexed="64"/>
        </left>
        <right style="hair">
          <color indexed="64"/>
        </right>
        <top style="thin">
          <color indexed="64"/>
        </top>
        <bottom style="hair">
          <color indexed="64"/>
        </bottom>
      </border>
    </dxf>
    <dxf>
      <font>
        <condense val="0"/>
        <extend val="0"/>
        <color indexed="26"/>
      </font>
      <fill>
        <patternFill>
          <bgColor indexed="9"/>
        </patternFill>
      </fill>
      <border>
        <left style="hair">
          <color indexed="64"/>
        </left>
        <right style="hair">
          <color indexed="64"/>
        </right>
        <top style="thin">
          <color indexed="64"/>
        </top>
        <bottom style="hair">
          <color indexed="64"/>
        </bottom>
      </border>
    </dxf>
    <dxf>
      <font>
        <condense val="0"/>
        <extend val="0"/>
        <color indexed="9"/>
      </font>
      <fill>
        <patternFill>
          <bgColor indexed="9"/>
        </patternFill>
      </fill>
      <border>
        <left style="hair">
          <color indexed="64"/>
        </left>
        <right style="hair">
          <color indexed="64"/>
        </right>
        <top style="thin">
          <color indexed="64"/>
        </top>
        <bottom style="thin">
          <color indexed="64"/>
        </bottom>
      </border>
    </dxf>
    <dxf>
      <font>
        <condense val="0"/>
        <extend val="0"/>
        <color indexed="26"/>
      </font>
      <fill>
        <patternFill>
          <bgColor indexed="9"/>
        </patternFill>
      </fill>
      <border>
        <left style="hair">
          <color indexed="64"/>
        </left>
        <right style="hair">
          <color indexed="64"/>
        </right>
        <top style="thin">
          <color indexed="64"/>
        </top>
        <bottom style="thin">
          <color indexed="64"/>
        </bottom>
      </border>
    </dxf>
    <dxf>
      <font>
        <strike/>
        <condense val="0"/>
        <extend val="0"/>
        <color indexed="10"/>
      </font>
    </dxf>
    <dxf>
      <font>
        <b/>
        <i/>
        <condense val="0"/>
        <extend val="0"/>
        <color indexed="14"/>
      </font>
    </dxf>
    <dxf>
      <font>
        <strike/>
        <condense val="0"/>
        <extend val="0"/>
        <color indexed="10"/>
      </font>
    </dxf>
    <dxf>
      <font>
        <b/>
        <i val="0"/>
        <strike/>
        <condense val="0"/>
        <extend val="0"/>
        <color indexed="10"/>
      </font>
    </dxf>
    <dxf>
      <font>
        <condense val="0"/>
        <extend val="0"/>
        <color indexed="9"/>
      </font>
      <fill>
        <patternFill>
          <bgColor indexed="9"/>
        </patternFill>
      </fill>
      <border>
        <left style="hair">
          <color indexed="64"/>
        </left>
        <right style="hair">
          <color indexed="64"/>
        </right>
        <top style="thin">
          <color indexed="64"/>
        </top>
        <bottom style="hair">
          <color indexed="64"/>
        </bottom>
      </border>
    </dxf>
    <dxf>
      <font>
        <condense val="0"/>
        <extend val="0"/>
        <color indexed="9"/>
      </font>
      <fill>
        <patternFill>
          <bgColor indexed="9"/>
        </patternFill>
      </fill>
      <border>
        <left style="hair">
          <color indexed="64"/>
        </left>
        <right style="hair">
          <color indexed="64"/>
        </right>
        <top style="thin">
          <color indexed="64"/>
        </top>
        <bottom style="hair">
          <color indexed="64"/>
        </bottom>
      </border>
    </dxf>
    <dxf>
      <font>
        <condense val="0"/>
        <extend val="0"/>
        <color indexed="26"/>
      </font>
      <fill>
        <patternFill>
          <bgColor indexed="9"/>
        </patternFill>
      </fill>
      <border>
        <left style="hair">
          <color indexed="64"/>
        </left>
        <right style="hair">
          <color indexed="64"/>
        </right>
        <top style="thin">
          <color indexed="64"/>
        </top>
        <bottom style="hair">
          <color indexed="64"/>
        </bottom>
      </border>
    </dxf>
    <dxf>
      <font>
        <condense val="0"/>
        <extend val="0"/>
        <color indexed="9"/>
      </font>
      <fill>
        <patternFill>
          <bgColor indexed="9"/>
        </patternFill>
      </fill>
      <border>
        <left style="hair">
          <color indexed="64"/>
        </left>
        <right style="hair">
          <color indexed="64"/>
        </right>
        <top style="thin">
          <color indexed="64"/>
        </top>
        <bottom style="thin">
          <color indexed="64"/>
        </bottom>
      </border>
    </dxf>
    <dxf>
      <font>
        <condense val="0"/>
        <extend val="0"/>
        <color indexed="26"/>
      </font>
      <fill>
        <patternFill>
          <bgColor indexed="9"/>
        </patternFill>
      </fill>
      <border>
        <left style="hair">
          <color indexed="64"/>
        </left>
        <right style="hair">
          <color indexed="64"/>
        </right>
        <top style="thin">
          <color indexed="64"/>
        </top>
        <bottom style="thin">
          <color indexed="64"/>
        </bottom>
      </border>
    </dxf>
    <dxf>
      <font>
        <strike/>
        <condense val="0"/>
        <extend val="0"/>
        <color indexed="10"/>
      </font>
    </dxf>
    <dxf>
      <font>
        <b/>
        <i/>
        <condense val="0"/>
        <extend val="0"/>
        <color indexed="14"/>
      </font>
    </dxf>
    <dxf>
      <font>
        <strike/>
        <condense val="0"/>
        <extend val="0"/>
        <color indexed="10"/>
      </font>
    </dxf>
    <dxf>
      <font>
        <b/>
        <i val="0"/>
        <strike/>
        <condense val="0"/>
        <extend val="0"/>
        <color indexed="10"/>
      </font>
    </dxf>
    <dxf>
      <font>
        <condense val="0"/>
        <extend val="0"/>
        <color indexed="9"/>
      </font>
      <fill>
        <patternFill>
          <bgColor indexed="9"/>
        </patternFill>
      </fill>
      <border>
        <left style="hair">
          <color indexed="64"/>
        </left>
        <right style="hair">
          <color indexed="64"/>
        </right>
        <top style="thin">
          <color indexed="64"/>
        </top>
        <bottom style="hair">
          <color indexed="64"/>
        </bottom>
      </border>
    </dxf>
    <dxf>
      <font>
        <condense val="0"/>
        <extend val="0"/>
        <color indexed="9"/>
      </font>
      <fill>
        <patternFill>
          <bgColor indexed="9"/>
        </patternFill>
      </fill>
      <border>
        <left style="hair">
          <color indexed="64"/>
        </left>
        <right style="hair">
          <color indexed="64"/>
        </right>
        <top style="thin">
          <color indexed="64"/>
        </top>
        <bottom style="hair">
          <color indexed="64"/>
        </bottom>
      </border>
    </dxf>
    <dxf>
      <font>
        <condense val="0"/>
        <extend val="0"/>
        <color indexed="26"/>
      </font>
      <fill>
        <patternFill>
          <bgColor indexed="9"/>
        </patternFill>
      </fill>
      <border>
        <left style="hair">
          <color indexed="64"/>
        </left>
        <right style="hair">
          <color indexed="64"/>
        </right>
        <top style="thin">
          <color indexed="64"/>
        </top>
        <bottom style="hair">
          <color indexed="64"/>
        </bottom>
      </border>
    </dxf>
    <dxf>
      <font>
        <condense val="0"/>
        <extend val="0"/>
        <color indexed="9"/>
      </font>
      <fill>
        <patternFill>
          <bgColor indexed="9"/>
        </patternFill>
      </fill>
      <border>
        <left style="hair">
          <color indexed="64"/>
        </left>
        <right style="hair">
          <color indexed="64"/>
        </right>
        <top style="thin">
          <color indexed="64"/>
        </top>
        <bottom style="thin">
          <color indexed="64"/>
        </bottom>
      </border>
    </dxf>
    <dxf>
      <font>
        <condense val="0"/>
        <extend val="0"/>
        <color indexed="26"/>
      </font>
      <fill>
        <patternFill>
          <bgColor indexed="9"/>
        </patternFill>
      </fill>
      <border>
        <left style="hair">
          <color indexed="64"/>
        </left>
        <right style="hair">
          <color indexed="64"/>
        </right>
        <top style="thin">
          <color indexed="64"/>
        </top>
        <bottom style="thin">
          <color indexed="64"/>
        </bottom>
      </border>
    </dxf>
    <dxf>
      <font>
        <strike/>
        <condense val="0"/>
        <extend val="0"/>
        <color indexed="10"/>
      </font>
    </dxf>
    <dxf>
      <font>
        <b/>
        <i/>
        <condense val="0"/>
        <extend val="0"/>
        <color indexed="14"/>
      </font>
    </dxf>
    <dxf>
      <font>
        <strike/>
        <condense val="0"/>
        <extend val="0"/>
        <color indexed="10"/>
      </font>
    </dxf>
    <dxf>
      <font>
        <b/>
        <i val="0"/>
        <strike/>
        <condense val="0"/>
        <extend val="0"/>
        <color indexed="10"/>
      </font>
    </dxf>
    <dxf>
      <font>
        <condense val="0"/>
        <extend val="0"/>
        <color indexed="9"/>
      </font>
      <fill>
        <patternFill>
          <bgColor indexed="9"/>
        </patternFill>
      </fill>
      <border>
        <left style="hair">
          <color indexed="64"/>
        </left>
        <right style="hair">
          <color indexed="64"/>
        </right>
        <top style="thin">
          <color indexed="64"/>
        </top>
        <bottom style="hair">
          <color indexed="64"/>
        </bottom>
      </border>
    </dxf>
    <dxf>
      <font>
        <condense val="0"/>
        <extend val="0"/>
        <color indexed="9"/>
      </font>
      <fill>
        <patternFill>
          <bgColor indexed="9"/>
        </patternFill>
      </fill>
      <border>
        <left style="hair">
          <color indexed="64"/>
        </left>
        <right style="hair">
          <color indexed="64"/>
        </right>
        <top style="thin">
          <color indexed="64"/>
        </top>
        <bottom style="hair">
          <color indexed="64"/>
        </bottom>
      </border>
    </dxf>
    <dxf>
      <font>
        <condense val="0"/>
        <extend val="0"/>
        <color indexed="26"/>
      </font>
      <fill>
        <patternFill>
          <bgColor indexed="9"/>
        </patternFill>
      </fill>
      <border>
        <left style="hair">
          <color indexed="64"/>
        </left>
        <right style="hair">
          <color indexed="64"/>
        </right>
        <top style="thin">
          <color indexed="64"/>
        </top>
        <bottom style="hair">
          <color indexed="64"/>
        </bottom>
      </border>
    </dxf>
    <dxf>
      <font>
        <condense val="0"/>
        <extend val="0"/>
        <color indexed="9"/>
      </font>
      <fill>
        <patternFill>
          <bgColor indexed="9"/>
        </patternFill>
      </fill>
      <border>
        <left style="hair">
          <color indexed="64"/>
        </left>
        <right style="hair">
          <color indexed="64"/>
        </right>
        <top style="thin">
          <color indexed="64"/>
        </top>
        <bottom style="thin">
          <color indexed="64"/>
        </bottom>
      </border>
    </dxf>
    <dxf>
      <font>
        <condense val="0"/>
        <extend val="0"/>
        <color indexed="26"/>
      </font>
      <fill>
        <patternFill>
          <bgColor indexed="9"/>
        </patternFill>
      </fill>
      <border>
        <left style="hair">
          <color indexed="64"/>
        </left>
        <right style="hair">
          <color indexed="64"/>
        </right>
        <top style="thin">
          <color indexed="64"/>
        </top>
        <bottom style="thin">
          <color indexed="64"/>
        </bottom>
      </border>
    </dxf>
    <dxf>
      <font>
        <strike/>
        <condense val="0"/>
        <extend val="0"/>
        <color indexed="10"/>
      </font>
    </dxf>
    <dxf>
      <font>
        <b/>
        <i/>
        <condense val="0"/>
        <extend val="0"/>
        <color indexed="14"/>
      </font>
    </dxf>
    <dxf>
      <font>
        <strike/>
        <condense val="0"/>
        <extend val="0"/>
        <color indexed="10"/>
      </font>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top/>
        <bottom/>
      </border>
    </dxf>
    <dxf>
      <font>
        <b/>
        <i val="0"/>
        <condense val="0"/>
        <extend val="0"/>
        <color indexed="10"/>
      </font>
    </dxf>
    <dxf>
      <font>
        <b/>
        <i val="0"/>
        <strike/>
        <condense val="0"/>
        <extend val="0"/>
        <color indexed="10"/>
      </font>
    </dxf>
    <dxf>
      <font>
        <condense val="0"/>
        <extend val="0"/>
        <color indexed="9"/>
      </font>
      <fill>
        <patternFill>
          <bgColor indexed="9"/>
        </patternFill>
      </fill>
      <border>
        <left style="hair">
          <color indexed="64"/>
        </left>
        <right style="hair">
          <color indexed="64"/>
        </right>
        <top style="thin">
          <color indexed="64"/>
        </top>
        <bottom style="hair">
          <color indexed="64"/>
        </bottom>
      </border>
    </dxf>
    <dxf>
      <font>
        <condense val="0"/>
        <extend val="0"/>
        <color indexed="9"/>
      </font>
      <fill>
        <patternFill>
          <bgColor indexed="9"/>
        </patternFill>
      </fill>
      <border>
        <left style="hair">
          <color indexed="64"/>
        </left>
        <right style="hair">
          <color indexed="64"/>
        </right>
        <top style="thin">
          <color indexed="64"/>
        </top>
        <bottom style="hair">
          <color indexed="64"/>
        </bottom>
      </border>
    </dxf>
    <dxf>
      <font>
        <condense val="0"/>
        <extend val="0"/>
        <color indexed="26"/>
      </font>
      <fill>
        <patternFill>
          <bgColor indexed="9"/>
        </patternFill>
      </fill>
      <border>
        <left style="hair">
          <color indexed="64"/>
        </left>
        <right style="hair">
          <color indexed="64"/>
        </right>
        <top style="thin">
          <color indexed="64"/>
        </top>
        <bottom style="hair">
          <color indexed="64"/>
        </bottom>
      </border>
    </dxf>
    <dxf>
      <font>
        <condense val="0"/>
        <extend val="0"/>
        <color indexed="9"/>
      </font>
      <fill>
        <patternFill>
          <bgColor indexed="9"/>
        </patternFill>
      </fill>
      <border>
        <left style="hair">
          <color indexed="64"/>
        </left>
        <right style="hair">
          <color indexed="64"/>
        </right>
        <top style="thin">
          <color indexed="64"/>
        </top>
        <bottom style="thin">
          <color indexed="64"/>
        </bottom>
      </border>
    </dxf>
    <dxf>
      <font>
        <condense val="0"/>
        <extend val="0"/>
        <color indexed="26"/>
      </font>
      <fill>
        <patternFill>
          <bgColor indexed="9"/>
        </patternFill>
      </fill>
      <border>
        <left style="hair">
          <color indexed="64"/>
        </left>
        <right style="hair">
          <color indexed="64"/>
        </right>
        <top style="thin">
          <color indexed="64"/>
        </top>
        <bottom style="thin">
          <color indexed="64"/>
        </bottom>
      </border>
    </dxf>
    <dxf>
      <font>
        <strike/>
        <condense val="0"/>
        <extend val="0"/>
        <color indexed="10"/>
      </font>
    </dxf>
    <dxf>
      <font>
        <b/>
        <i/>
        <condense val="0"/>
        <extend val="0"/>
        <color indexed="14"/>
      </font>
    </dxf>
    <dxf>
      <font>
        <strike/>
        <condense val="0"/>
        <extend val="0"/>
        <color indexed="10"/>
      </font>
    </dxf>
    <dxf>
      <font>
        <condense val="0"/>
        <extend val="0"/>
        <color indexed="8"/>
      </font>
    </dxf>
    <dxf>
      <font>
        <condense val="0"/>
        <extend val="0"/>
        <color indexed="8"/>
      </font>
    </dxf>
    <dxf>
      <font>
        <condense val="0"/>
        <extend val="0"/>
        <color indexed="8"/>
      </font>
    </dxf>
    <dxf>
      <font>
        <condense val="0"/>
        <extend val="0"/>
        <color indexed="8"/>
      </font>
      <fill>
        <patternFill patternType="none">
          <bgColor indexed="65"/>
        </patternFill>
      </fill>
    </dxf>
    <dxf>
      <font>
        <b/>
        <i/>
        <condense val="0"/>
        <extend val="0"/>
        <color indexed="14"/>
      </font>
    </dxf>
    <dxf>
      <font>
        <b/>
        <i/>
        <condense val="0"/>
        <extend val="0"/>
        <color indexed="14"/>
      </font>
    </dxf>
    <dxf>
      <font>
        <b/>
        <i val="0"/>
        <strike/>
        <condense val="0"/>
        <extend val="0"/>
        <color indexed="10"/>
      </font>
    </dxf>
    <dxf>
      <font>
        <condense val="0"/>
        <extend val="0"/>
        <color indexed="9"/>
      </font>
      <fill>
        <patternFill>
          <bgColor indexed="9"/>
        </patternFill>
      </fill>
      <border>
        <left style="hair">
          <color indexed="64"/>
        </left>
        <right style="hair">
          <color indexed="64"/>
        </right>
        <top style="thin">
          <color indexed="64"/>
        </top>
        <bottom style="hair">
          <color indexed="64"/>
        </bottom>
      </border>
    </dxf>
    <dxf>
      <font>
        <condense val="0"/>
        <extend val="0"/>
        <color indexed="9"/>
      </font>
      <fill>
        <patternFill>
          <bgColor indexed="9"/>
        </patternFill>
      </fill>
      <border>
        <left style="hair">
          <color indexed="64"/>
        </left>
        <right style="hair">
          <color indexed="64"/>
        </right>
        <top style="thin">
          <color indexed="64"/>
        </top>
        <bottom style="hair">
          <color indexed="64"/>
        </bottom>
      </border>
    </dxf>
    <dxf>
      <font>
        <condense val="0"/>
        <extend val="0"/>
        <color indexed="26"/>
      </font>
      <fill>
        <patternFill>
          <bgColor indexed="9"/>
        </patternFill>
      </fill>
      <border>
        <left style="hair">
          <color indexed="64"/>
        </left>
        <right style="hair">
          <color indexed="64"/>
        </right>
        <top style="thin">
          <color indexed="64"/>
        </top>
        <bottom style="hair">
          <color indexed="64"/>
        </bottom>
      </border>
    </dxf>
    <dxf>
      <font>
        <condense val="0"/>
        <extend val="0"/>
        <color indexed="9"/>
      </font>
      <fill>
        <patternFill>
          <bgColor indexed="9"/>
        </patternFill>
      </fill>
      <border>
        <left style="hair">
          <color indexed="64"/>
        </left>
        <right style="hair">
          <color indexed="64"/>
        </right>
        <top style="thin">
          <color indexed="64"/>
        </top>
        <bottom style="thin">
          <color indexed="64"/>
        </bottom>
      </border>
    </dxf>
    <dxf>
      <font>
        <condense val="0"/>
        <extend val="0"/>
        <color indexed="26"/>
      </font>
      <fill>
        <patternFill>
          <bgColor indexed="9"/>
        </patternFill>
      </fill>
      <border>
        <left style="hair">
          <color indexed="64"/>
        </left>
        <right style="hair">
          <color indexed="64"/>
        </right>
        <top style="thin">
          <color indexed="64"/>
        </top>
        <bottom style="thin">
          <color indexed="64"/>
        </bottom>
      </border>
    </dxf>
    <dxf>
      <font>
        <strike/>
        <condense val="0"/>
        <extend val="0"/>
        <color indexed="10"/>
      </font>
    </dxf>
    <dxf>
      <font>
        <condense val="0"/>
        <extend val="0"/>
        <color indexed="9"/>
      </font>
      <fill>
        <patternFill>
          <bgColor indexed="9"/>
        </patternFill>
      </fill>
      <border>
        <left style="hair">
          <color indexed="64"/>
        </left>
        <right style="hair">
          <color indexed="64"/>
        </right>
        <top style="thin">
          <color indexed="64"/>
        </top>
        <bottom style="hair">
          <color indexed="64"/>
        </bottom>
      </border>
    </dxf>
    <dxf>
      <font>
        <condense val="0"/>
        <extend val="0"/>
        <color indexed="9"/>
      </font>
      <fill>
        <patternFill>
          <bgColor indexed="9"/>
        </patternFill>
      </fill>
      <border>
        <left style="hair">
          <color indexed="64"/>
        </left>
        <right style="hair">
          <color indexed="64"/>
        </right>
        <top style="thin">
          <color indexed="64"/>
        </top>
        <bottom style="hair">
          <color indexed="64"/>
        </bottom>
      </border>
    </dxf>
    <dxf>
      <font>
        <condense val="0"/>
        <extend val="0"/>
        <color indexed="26"/>
      </font>
      <fill>
        <patternFill>
          <bgColor indexed="9"/>
        </patternFill>
      </fill>
      <border>
        <left style="hair">
          <color indexed="64"/>
        </left>
        <right style="hair">
          <color indexed="64"/>
        </right>
        <top style="thin">
          <color indexed="64"/>
        </top>
        <bottom style="hair">
          <color indexed="64"/>
        </bottom>
      </border>
    </dxf>
    <dxf>
      <font>
        <b/>
        <i val="0"/>
        <strike/>
        <condense val="0"/>
        <extend val="0"/>
        <color indexed="10"/>
      </font>
    </dxf>
    <dxf>
      <font>
        <b/>
        <i val="0"/>
        <strike val="0"/>
        <condense val="0"/>
        <extend val="0"/>
        <color indexed="14"/>
      </font>
    </dxf>
    <dxf>
      <font>
        <b/>
        <i val="0"/>
        <strike/>
        <condense val="0"/>
        <extend val="0"/>
        <color indexed="10"/>
      </font>
    </dxf>
    <dxf>
      <font>
        <condense val="0"/>
        <extend val="0"/>
        <color indexed="9"/>
      </font>
      <fill>
        <patternFill>
          <bgColor indexed="9"/>
        </patternFill>
      </fill>
      <border>
        <left style="hair">
          <color indexed="64"/>
        </left>
        <right style="hair">
          <color indexed="64"/>
        </right>
        <top style="thin">
          <color indexed="64"/>
        </top>
        <bottom style="thin">
          <color indexed="64"/>
        </bottom>
      </border>
    </dxf>
    <dxf>
      <font>
        <condense val="0"/>
        <extend val="0"/>
        <color indexed="26"/>
      </font>
      <fill>
        <patternFill>
          <bgColor indexed="9"/>
        </patternFill>
      </fill>
      <border>
        <left style="hair">
          <color indexed="64"/>
        </left>
        <right style="hair">
          <color indexed="64"/>
        </right>
        <top style="thin">
          <color indexed="64"/>
        </top>
        <bottom style="thin">
          <color indexed="64"/>
        </bottom>
      </border>
    </dxf>
    <dxf>
      <font>
        <strike/>
        <condense val="0"/>
        <extend val="0"/>
        <color indexed="10"/>
      </font>
    </dxf>
    <dxf>
      <font>
        <condense val="0"/>
        <extend val="0"/>
        <color indexed="26"/>
      </font>
      <fill>
        <patternFill>
          <bgColor indexed="9"/>
        </patternFill>
      </fill>
      <border>
        <left style="hair">
          <color indexed="64"/>
        </left>
        <right style="hair">
          <color indexed="64"/>
        </right>
        <top style="hair">
          <color indexed="64"/>
        </top>
        <bottom style="thin">
          <color indexed="64"/>
        </bottom>
      </border>
    </dxf>
    <dxf>
      <font>
        <condense val="0"/>
        <extend val="0"/>
        <color indexed="26"/>
      </font>
      <fill>
        <patternFill>
          <bgColor indexed="9"/>
        </patternFill>
      </fill>
      <border>
        <left style="hair">
          <color indexed="64"/>
        </left>
        <right style="hair">
          <color indexed="64"/>
        </right>
        <top style="hair">
          <color indexed="64"/>
        </top>
        <bottom style="hair">
          <color indexed="64"/>
        </bottom>
      </border>
    </dxf>
    <dxf>
      <font>
        <condense val="0"/>
        <extend val="0"/>
        <color indexed="23"/>
      </font>
    </dxf>
    <dxf>
      <font>
        <strike val="0"/>
        <condense val="0"/>
        <extend val="0"/>
        <color indexed="10"/>
      </font>
    </dxf>
    <dxf>
      <font>
        <b/>
        <i/>
        <condense val="0"/>
        <extend val="0"/>
        <color indexed="14"/>
      </font>
    </dxf>
    <dxf>
      <font>
        <strike/>
        <condense val="0"/>
        <extend val="0"/>
        <color indexed="10"/>
      </font>
    </dxf>
    <dxf>
      <font>
        <strike/>
        <condense val="0"/>
        <extend val="0"/>
        <color indexed="10"/>
      </font>
    </dxf>
    <dxf>
      <font>
        <condense val="0"/>
        <extend val="0"/>
        <color indexed="23"/>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6" Type="http://schemas.openxmlformats.org/officeDocument/2006/relationships/image" Target="../media/image6.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2276475</xdr:colOff>
          <xdr:row>2</xdr:row>
          <xdr:rowOff>9525</xdr:rowOff>
        </xdr:from>
        <xdr:to>
          <xdr:col>1</xdr:col>
          <xdr:colOff>3352800</xdr:colOff>
          <xdr:row>3</xdr:row>
          <xdr:rowOff>133350</xdr:rowOff>
        </xdr:to>
        <xdr:sp macro="" textlink="">
          <xdr:nvSpPr>
            <xdr:cNvPr id="11265" name="Add_zone" hidden="1">
              <a:extLst>
                <a:ext uri="{63B3BB69-23CF-44E3-9099-C40C66FF867C}">
                  <a14:compatExt spid="_x0000_s1126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1562100</xdr:colOff>
          <xdr:row>14</xdr:row>
          <xdr:rowOff>9525</xdr:rowOff>
        </xdr:from>
        <xdr:to>
          <xdr:col>1</xdr:col>
          <xdr:colOff>3362325</xdr:colOff>
          <xdr:row>16</xdr:row>
          <xdr:rowOff>9525</xdr:rowOff>
        </xdr:to>
        <xdr:sp macro="" textlink="">
          <xdr:nvSpPr>
            <xdr:cNvPr id="11266" name="CommandButton2" hidden="1">
              <a:extLst>
                <a:ext uri="{63B3BB69-23CF-44E3-9099-C40C66FF867C}">
                  <a14:compatExt spid="_x0000_s11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24</xdr:row>
          <xdr:rowOff>47625</xdr:rowOff>
        </xdr:from>
        <xdr:to>
          <xdr:col>9</xdr:col>
          <xdr:colOff>552450</xdr:colOff>
          <xdr:row>26</xdr:row>
          <xdr:rowOff>9525</xdr:rowOff>
        </xdr:to>
        <xdr:sp macro="" textlink="">
          <xdr:nvSpPr>
            <xdr:cNvPr id="11267" name="Show_Ez" hidden="1">
              <a:extLst>
                <a:ext uri="{63B3BB69-23CF-44E3-9099-C40C66FF867C}">
                  <a14:compatExt spid="_x0000_s1126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19050</xdr:rowOff>
        </xdr:from>
        <xdr:to>
          <xdr:col>1</xdr:col>
          <xdr:colOff>3352800</xdr:colOff>
          <xdr:row>1</xdr:row>
          <xdr:rowOff>142875</xdr:rowOff>
        </xdr:to>
        <xdr:sp macro="" textlink="">
          <xdr:nvSpPr>
            <xdr:cNvPr id="11268" name="Delete_Zone" hidden="1">
              <a:extLst>
                <a:ext uri="{63B3BB69-23CF-44E3-9099-C40C66FF867C}">
                  <a14:compatExt spid="_x0000_s1126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1276350</xdr:colOff>
          <xdr:row>0</xdr:row>
          <xdr:rowOff>47625</xdr:rowOff>
        </xdr:from>
        <xdr:to>
          <xdr:col>1</xdr:col>
          <xdr:colOff>2200275</xdr:colOff>
          <xdr:row>2</xdr:row>
          <xdr:rowOff>0</xdr:rowOff>
        </xdr:to>
        <xdr:sp macro="" textlink="">
          <xdr:nvSpPr>
            <xdr:cNvPr id="11269" name="Test_Button"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2286000</xdr:colOff>
          <xdr:row>7</xdr:row>
          <xdr:rowOff>0</xdr:rowOff>
        </xdr:from>
        <xdr:to>
          <xdr:col>1</xdr:col>
          <xdr:colOff>2924175</xdr:colOff>
          <xdr:row>8</xdr:row>
          <xdr:rowOff>57150</xdr:rowOff>
        </xdr:to>
        <xdr:sp macro="" textlink="">
          <xdr:nvSpPr>
            <xdr:cNvPr id="11270" name="Button 6" hidden="1">
              <a:extLst>
                <a:ext uri="{63B3BB69-23CF-44E3-9099-C40C66FF867C}">
                  <a14:compatExt spid="_x0000_s112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685800</xdr:colOff>
          <xdr:row>0</xdr:row>
          <xdr:rowOff>0</xdr:rowOff>
        </xdr:from>
        <xdr:to>
          <xdr:col>1</xdr:col>
          <xdr:colOff>1543050</xdr:colOff>
          <xdr:row>2</xdr:row>
          <xdr:rowOff>38100</xdr:rowOff>
        </xdr:to>
        <xdr:sp macro="" textlink="">
          <xdr:nvSpPr>
            <xdr:cNvPr id="11276" name="ZoneCheck" hidden="1">
              <a:extLst>
                <a:ext uri="{63B3BB69-23CF-44E3-9099-C40C66FF867C}">
                  <a14:compatExt spid="_x0000_s11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capital one - phelan"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trlProp" Target="../ctrlProps/ctrlProp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D28"/>
  <sheetViews>
    <sheetView workbookViewId="0">
      <selection activeCell="I8" sqref="I8"/>
    </sheetView>
  </sheetViews>
  <sheetFormatPr defaultRowHeight="12.75"/>
  <cols>
    <col min="1" max="1" width="15" bestFit="1" customWidth="1"/>
    <col min="2" max="2" width="16.42578125" bestFit="1" customWidth="1"/>
    <col min="3" max="3" width="11.28515625" bestFit="1" customWidth="1"/>
    <col min="4" max="4" width="14.85546875" bestFit="1" customWidth="1"/>
    <col min="5" max="5" width="17.42578125" bestFit="1" customWidth="1"/>
    <col min="6" max="6" width="15.7109375" bestFit="1" customWidth="1"/>
    <col min="7" max="7" width="12.85546875" bestFit="1" customWidth="1"/>
    <col min="8" max="8" width="11.28515625" bestFit="1" customWidth="1"/>
    <col min="9" max="9" width="12" bestFit="1" customWidth="1"/>
    <col min="10" max="10" width="11.5703125" bestFit="1" customWidth="1"/>
    <col min="11" max="11" width="11" bestFit="1" customWidth="1"/>
    <col min="12" max="12" width="9.7109375" bestFit="1" customWidth="1"/>
    <col min="13" max="13" width="10.85546875" bestFit="1" customWidth="1"/>
    <col min="14" max="14" width="14.42578125" bestFit="1" customWidth="1"/>
    <col min="15" max="15" width="23.5703125" bestFit="1" customWidth="1"/>
    <col min="16" max="16" width="19" bestFit="1" customWidth="1"/>
    <col min="17" max="17" width="11.5703125" bestFit="1" customWidth="1"/>
    <col min="18" max="18" width="11.140625" bestFit="1" customWidth="1"/>
    <col min="19" max="19" width="14.42578125" bestFit="1" customWidth="1"/>
    <col min="20" max="20" width="19.7109375" bestFit="1" customWidth="1"/>
    <col min="21" max="21" width="19" bestFit="1" customWidth="1"/>
    <col min="22" max="22" width="38" bestFit="1" customWidth="1"/>
    <col min="23" max="23" width="7.5703125" customWidth="1"/>
    <col min="24" max="24" width="7.28515625" customWidth="1"/>
    <col min="25" max="25" width="29.85546875" bestFit="1" customWidth="1"/>
    <col min="26" max="26" width="30.42578125" bestFit="1" customWidth="1"/>
    <col min="27" max="27" width="29.28515625" bestFit="1" customWidth="1"/>
    <col min="28" max="28" width="30" bestFit="1" customWidth="1"/>
    <col min="29" max="29" width="21.7109375" bestFit="1" customWidth="1"/>
    <col min="30" max="30" width="29.28515625" bestFit="1" customWidth="1"/>
    <col min="31" max="31" width="17.28515625" bestFit="1" customWidth="1"/>
    <col min="32" max="32" width="21.7109375" bestFit="1" customWidth="1"/>
    <col min="33" max="33" width="29" bestFit="1" customWidth="1"/>
    <col min="34" max="34" width="22.28515625" bestFit="1" customWidth="1"/>
    <col min="35" max="35" width="20" bestFit="1" customWidth="1"/>
    <col min="36" max="36" width="5" customWidth="1"/>
    <col min="37" max="37" width="7.28515625" customWidth="1"/>
    <col min="38" max="38" width="12.5703125" bestFit="1" customWidth="1"/>
    <col min="39" max="39" width="10.5703125" bestFit="1" customWidth="1"/>
    <col min="40" max="40" width="9" customWidth="1"/>
    <col min="41" max="41" width="12.7109375" bestFit="1" customWidth="1"/>
    <col min="42" max="42" width="9" customWidth="1"/>
    <col min="43" max="43" width="12.85546875" bestFit="1" customWidth="1"/>
    <col min="44" max="44" width="12.7109375" bestFit="1" customWidth="1"/>
    <col min="45" max="45" width="19.7109375" customWidth="1"/>
    <col min="46" max="46" width="19.85546875" bestFit="1" customWidth="1"/>
    <col min="47" max="47" width="10.7109375" bestFit="1" customWidth="1"/>
    <col min="48" max="48" width="10.28515625" bestFit="1" customWidth="1"/>
    <col min="49" max="49" width="10.7109375" bestFit="1" customWidth="1"/>
    <col min="50" max="50" width="12.85546875" bestFit="1" customWidth="1"/>
    <col min="51" max="51" width="17.42578125" bestFit="1" customWidth="1"/>
    <col min="52" max="52" width="14.5703125" bestFit="1" customWidth="1"/>
    <col min="53" max="53" width="15.140625" bestFit="1" customWidth="1"/>
    <col min="54" max="54" width="17.5703125" bestFit="1" customWidth="1"/>
    <col min="55" max="55" width="32.140625" bestFit="1" customWidth="1"/>
    <col min="56" max="56" width="31.85546875" bestFit="1" customWidth="1"/>
    <col min="58" max="58" width="17" bestFit="1" customWidth="1"/>
    <col min="59" max="59" width="17.28515625" bestFit="1" customWidth="1"/>
    <col min="61" max="61" width="17" bestFit="1" customWidth="1"/>
    <col min="62" max="62" width="17.28515625" bestFit="1" customWidth="1"/>
    <col min="63" max="63" width="12" bestFit="1" customWidth="1"/>
    <col min="64" max="64" width="20" bestFit="1" customWidth="1"/>
    <col min="65" max="65" width="20.140625" bestFit="1" customWidth="1"/>
    <col min="66" max="66" width="12.140625" bestFit="1" customWidth="1"/>
    <col min="67" max="67" width="20.140625" bestFit="1" customWidth="1"/>
    <col min="68" max="68" width="20.28515625" bestFit="1" customWidth="1"/>
    <col min="69" max="69" width="18.28515625" bestFit="1" customWidth="1"/>
    <col min="70" max="70" width="17.7109375" bestFit="1" customWidth="1"/>
    <col min="71" max="71" width="13.140625" bestFit="1" customWidth="1"/>
    <col min="72" max="72" width="19.85546875" bestFit="1" customWidth="1"/>
    <col min="73" max="73" width="23.5703125" bestFit="1" customWidth="1"/>
    <col min="74" max="74" width="22.42578125" bestFit="1" customWidth="1"/>
    <col min="75" max="75" width="20.28515625" bestFit="1" customWidth="1"/>
    <col min="76" max="76" width="15" bestFit="1" customWidth="1"/>
    <col min="77" max="77" width="13.85546875" bestFit="1" customWidth="1"/>
    <col min="78" max="78" width="19.140625" bestFit="1" customWidth="1"/>
    <col min="79" max="79" width="17" bestFit="1" customWidth="1"/>
    <col min="80" max="80" width="24.140625" bestFit="1" customWidth="1"/>
    <col min="81" max="81" width="22.140625" bestFit="1" customWidth="1"/>
    <col min="82" max="82" width="12.28515625" bestFit="1" customWidth="1"/>
    <col min="83" max="83" width="20.28515625" bestFit="1" customWidth="1"/>
    <col min="84" max="84" width="20.42578125" bestFit="1" customWidth="1"/>
    <col min="85" max="85" width="24" bestFit="1" customWidth="1"/>
    <col min="86" max="86" width="24.140625" bestFit="1" customWidth="1"/>
    <col min="87" max="87" width="32" bestFit="1" customWidth="1"/>
    <col min="88" max="88" width="30" bestFit="1" customWidth="1"/>
    <col min="89" max="89" width="32.28515625" bestFit="1" customWidth="1"/>
    <col min="90" max="90" width="23.5703125" bestFit="1" customWidth="1"/>
    <col min="91" max="91" width="31" bestFit="1" customWidth="1"/>
    <col min="92" max="92" width="27.28515625" bestFit="1" customWidth="1"/>
    <col min="93" max="93" width="29.140625" bestFit="1" customWidth="1"/>
    <col min="94" max="94" width="27.140625" bestFit="1" customWidth="1"/>
    <col min="95" max="95" width="23.7109375" bestFit="1" customWidth="1"/>
    <col min="96" max="96" width="31.140625" bestFit="1" customWidth="1"/>
    <col min="97" max="97" width="27.42578125" bestFit="1" customWidth="1"/>
    <col min="98" max="98" width="29.42578125" bestFit="1" customWidth="1"/>
    <col min="99" max="99" width="19.28515625" bestFit="1" customWidth="1"/>
    <col min="100" max="100" width="19.42578125" bestFit="1" customWidth="1"/>
    <col min="101" max="101" width="22.7109375" bestFit="1" customWidth="1"/>
    <col min="102" max="102" width="20.28515625" bestFit="1" customWidth="1"/>
    <col min="103" max="103" width="28.28515625" bestFit="1" customWidth="1"/>
    <col min="104" max="104" width="26.28515625" bestFit="1" customWidth="1"/>
    <col min="105" max="105" width="22.85546875" bestFit="1" customWidth="1"/>
    <col min="106" max="106" width="20.42578125" bestFit="1" customWidth="1"/>
    <col min="107" max="107" width="28.5703125" bestFit="1" customWidth="1"/>
    <col min="108" max="108" width="28.7109375" bestFit="1" customWidth="1"/>
    <col min="109" max="109" width="28.5703125" bestFit="1" customWidth="1"/>
    <col min="110" max="110" width="22.5703125" bestFit="1" customWidth="1"/>
    <col min="111" max="111" width="21.85546875" bestFit="1" customWidth="1"/>
    <col min="112" max="112" width="23.7109375" bestFit="1" customWidth="1"/>
    <col min="113" max="113" width="23.85546875" bestFit="1" customWidth="1"/>
    <col min="114" max="114" width="23.42578125" bestFit="1" customWidth="1"/>
    <col min="115" max="115" width="23.5703125" bestFit="1" customWidth="1"/>
    <col min="116" max="116" width="32" bestFit="1" customWidth="1"/>
    <col min="117" max="117" width="31.7109375" bestFit="1" customWidth="1"/>
    <col min="118" max="118" width="25.28515625" bestFit="1" customWidth="1"/>
    <col min="119" max="119" width="25.5703125" bestFit="1" customWidth="1"/>
    <col min="120" max="120" width="19.7109375" bestFit="1" customWidth="1"/>
    <col min="121" max="121" width="19.85546875" bestFit="1" customWidth="1"/>
    <col min="122" max="122" width="30.140625" bestFit="1" customWidth="1"/>
    <col min="123" max="123" width="30.28515625" bestFit="1" customWidth="1"/>
    <col min="124" max="124" width="25.85546875" bestFit="1" customWidth="1"/>
    <col min="125" max="125" width="26.42578125" bestFit="1" customWidth="1"/>
    <col min="126" max="126" width="33.140625" bestFit="1" customWidth="1"/>
    <col min="127" max="127" width="26" bestFit="1" customWidth="1"/>
    <col min="128" max="128" width="26.5703125" bestFit="1" customWidth="1"/>
    <col min="129" max="129" width="27.140625" bestFit="1" customWidth="1"/>
    <col min="130" max="130" width="34" bestFit="1" customWidth="1"/>
    <col min="131" max="131" width="26.7109375" bestFit="1" customWidth="1"/>
    <col min="132" max="132" width="26" bestFit="1" customWidth="1"/>
    <col min="133" max="133" width="26.7109375" bestFit="1" customWidth="1"/>
    <col min="134" max="134" width="17.7109375" bestFit="1" customWidth="1"/>
  </cols>
  <sheetData>
    <row r="1" spans="1:134">
      <c r="A1" t="s">
        <v>493</v>
      </c>
      <c r="B1" t="s">
        <v>338</v>
      </c>
      <c r="C1" t="s">
        <v>339</v>
      </c>
      <c r="D1" t="s">
        <v>340</v>
      </c>
      <c r="E1" t="s">
        <v>341</v>
      </c>
      <c r="F1" t="s">
        <v>342</v>
      </c>
      <c r="G1" t="s">
        <v>343</v>
      </c>
      <c r="H1" t="s">
        <v>344</v>
      </c>
      <c r="I1" t="s">
        <v>345</v>
      </c>
      <c r="J1" t="s">
        <v>346</v>
      </c>
      <c r="K1" t="s">
        <v>347</v>
      </c>
      <c r="L1" t="s">
        <v>348</v>
      </c>
      <c r="M1" t="s">
        <v>349</v>
      </c>
      <c r="N1" t="s">
        <v>350</v>
      </c>
      <c r="O1" t="s">
        <v>351</v>
      </c>
      <c r="P1" t="s">
        <v>352</v>
      </c>
      <c r="Q1" t="s">
        <v>353</v>
      </c>
      <c r="R1" t="s">
        <v>354</v>
      </c>
      <c r="S1" t="s">
        <v>355</v>
      </c>
      <c r="T1" t="s">
        <v>356</v>
      </c>
      <c r="U1" t="s">
        <v>357</v>
      </c>
      <c r="V1" t="s">
        <v>358</v>
      </c>
      <c r="W1" t="s">
        <v>359</v>
      </c>
      <c r="X1" t="s">
        <v>360</v>
      </c>
      <c r="Y1" t="s">
        <v>361</v>
      </c>
      <c r="Z1" t="s">
        <v>362</v>
      </c>
      <c r="AA1" t="s">
        <v>363</v>
      </c>
      <c r="AB1" t="s">
        <v>364</v>
      </c>
      <c r="AC1" t="s">
        <v>365</v>
      </c>
      <c r="AD1" t="s">
        <v>366</v>
      </c>
      <c r="AE1" t="s">
        <v>367</v>
      </c>
      <c r="AF1" t="s">
        <v>368</v>
      </c>
      <c r="AG1" t="s">
        <v>369</v>
      </c>
      <c r="AH1" t="s">
        <v>370</v>
      </c>
      <c r="AI1" t="s">
        <v>371</v>
      </c>
      <c r="AJ1" t="s">
        <v>372</v>
      </c>
      <c r="AK1" t="s">
        <v>373</v>
      </c>
      <c r="AL1" t="s">
        <v>374</v>
      </c>
      <c r="AM1" t="s">
        <v>375</v>
      </c>
      <c r="AN1" t="s">
        <v>376</v>
      </c>
      <c r="AO1" t="s">
        <v>377</v>
      </c>
      <c r="AP1" t="s">
        <v>378</v>
      </c>
      <c r="AQ1" t="s">
        <v>379</v>
      </c>
      <c r="AR1" t="s">
        <v>380</v>
      </c>
      <c r="AS1" t="s">
        <v>381</v>
      </c>
      <c r="AT1" t="s">
        <v>382</v>
      </c>
      <c r="AU1" t="s">
        <v>383</v>
      </c>
      <c r="AV1" t="s">
        <v>384</v>
      </c>
      <c r="AW1" t="s">
        <v>385</v>
      </c>
      <c r="AX1" t="s">
        <v>386</v>
      </c>
      <c r="AY1" t="s">
        <v>387</v>
      </c>
      <c r="AZ1" t="s">
        <v>388</v>
      </c>
      <c r="BA1" t="s">
        <v>389</v>
      </c>
      <c r="BB1" t="s">
        <v>390</v>
      </c>
      <c r="BC1" t="s">
        <v>391</v>
      </c>
      <c r="BD1" t="s">
        <v>392</v>
      </c>
      <c r="BE1" t="s">
        <v>393</v>
      </c>
      <c r="BF1" t="s">
        <v>394</v>
      </c>
      <c r="BG1" t="s">
        <v>395</v>
      </c>
      <c r="BH1" t="s">
        <v>396</v>
      </c>
      <c r="BI1" t="s">
        <v>397</v>
      </c>
      <c r="BJ1" t="s">
        <v>398</v>
      </c>
      <c r="BK1" t="s">
        <v>399</v>
      </c>
      <c r="BL1" t="s">
        <v>400</v>
      </c>
      <c r="BM1" t="s">
        <v>401</v>
      </c>
      <c r="BN1" t="s">
        <v>402</v>
      </c>
      <c r="BO1" t="s">
        <v>403</v>
      </c>
      <c r="BP1" t="s">
        <v>404</v>
      </c>
      <c r="BQ1" t="s">
        <v>405</v>
      </c>
      <c r="BR1" t="s">
        <v>406</v>
      </c>
      <c r="BS1" t="s">
        <v>407</v>
      </c>
      <c r="BT1" t="s">
        <v>408</v>
      </c>
      <c r="BU1" t="s">
        <v>409</v>
      </c>
      <c r="BV1" t="s">
        <v>410</v>
      </c>
      <c r="BW1" t="s">
        <v>411</v>
      </c>
      <c r="BX1" t="s">
        <v>412</v>
      </c>
      <c r="BY1" t="s">
        <v>413</v>
      </c>
      <c r="BZ1" t="s">
        <v>414</v>
      </c>
      <c r="CA1" t="s">
        <v>415</v>
      </c>
      <c r="CB1" t="s">
        <v>416</v>
      </c>
      <c r="CC1" t="s">
        <v>417</v>
      </c>
      <c r="CD1" t="s">
        <v>418</v>
      </c>
      <c r="CE1" t="s">
        <v>419</v>
      </c>
      <c r="CF1" t="s">
        <v>420</v>
      </c>
      <c r="CG1" t="s">
        <v>421</v>
      </c>
      <c r="CH1" t="s">
        <v>422</v>
      </c>
      <c r="CI1" t="s">
        <v>423</v>
      </c>
      <c r="CJ1" t="s">
        <v>424</v>
      </c>
      <c r="CK1" t="s">
        <v>425</v>
      </c>
      <c r="CL1" t="s">
        <v>426</v>
      </c>
      <c r="CM1" t="s">
        <v>427</v>
      </c>
      <c r="CN1" t="s">
        <v>428</v>
      </c>
      <c r="CO1" t="s">
        <v>429</v>
      </c>
      <c r="CP1" t="s">
        <v>430</v>
      </c>
      <c r="CQ1" t="s">
        <v>431</v>
      </c>
      <c r="CR1" t="s">
        <v>432</v>
      </c>
      <c r="CS1" t="s">
        <v>433</v>
      </c>
      <c r="CT1" t="s">
        <v>434</v>
      </c>
      <c r="CU1" t="s">
        <v>435</v>
      </c>
      <c r="CV1" t="s">
        <v>436</v>
      </c>
      <c r="CW1" t="s">
        <v>437</v>
      </c>
      <c r="CX1" t="s">
        <v>438</v>
      </c>
      <c r="CY1" t="s">
        <v>439</v>
      </c>
      <c r="CZ1" t="s">
        <v>440</v>
      </c>
      <c r="DA1" t="s">
        <v>441</v>
      </c>
      <c r="DB1" t="s">
        <v>442</v>
      </c>
      <c r="DC1" t="s">
        <v>443</v>
      </c>
      <c r="DD1" t="s">
        <v>444</v>
      </c>
      <c r="DE1" t="s">
        <v>445</v>
      </c>
      <c r="DF1" t="s">
        <v>446</v>
      </c>
      <c r="DG1" t="s">
        <v>447</v>
      </c>
      <c r="DH1" t="s">
        <v>448</v>
      </c>
      <c r="DI1" t="s">
        <v>449</v>
      </c>
      <c r="DJ1" t="s">
        <v>450</v>
      </c>
      <c r="DK1" t="s">
        <v>451</v>
      </c>
      <c r="DL1" t="s">
        <v>452</v>
      </c>
      <c r="DM1" t="s">
        <v>453</v>
      </c>
      <c r="DN1" t="s">
        <v>454</v>
      </c>
      <c r="DO1" t="s">
        <v>455</v>
      </c>
      <c r="DP1" t="s">
        <v>456</v>
      </c>
      <c r="DQ1" t="s">
        <v>457</v>
      </c>
      <c r="DR1" t="s">
        <v>458</v>
      </c>
      <c r="DS1" t="s">
        <v>459</v>
      </c>
      <c r="DT1" t="s">
        <v>460</v>
      </c>
      <c r="DU1" t="s">
        <v>461</v>
      </c>
      <c r="DV1" t="s">
        <v>462</v>
      </c>
      <c r="DW1" t="s">
        <v>463</v>
      </c>
      <c r="DX1" t="s">
        <v>464</v>
      </c>
      <c r="DY1" t="s">
        <v>465</v>
      </c>
      <c r="DZ1" t="s">
        <v>466</v>
      </c>
      <c r="EA1" t="s">
        <v>467</v>
      </c>
      <c r="EB1" t="s">
        <v>468</v>
      </c>
      <c r="EC1" t="s">
        <v>469</v>
      </c>
      <c r="ED1" t="s">
        <v>470</v>
      </c>
    </row>
    <row r="2" spans="1:134">
      <c r="A2" t="s">
        <v>471</v>
      </c>
      <c r="B2" t="s">
        <v>472</v>
      </c>
      <c r="C2">
        <v>0</v>
      </c>
      <c r="D2" t="s">
        <v>473</v>
      </c>
      <c r="K2" t="s">
        <v>479</v>
      </c>
      <c r="L2" t="s">
        <v>480</v>
      </c>
      <c r="T2">
        <v>1</v>
      </c>
      <c r="U2">
        <v>24</v>
      </c>
      <c r="V2" t="s">
        <v>494</v>
      </c>
      <c r="W2">
        <v>30</v>
      </c>
      <c r="X2">
        <v>23</v>
      </c>
      <c r="Y2">
        <v>92</v>
      </c>
      <c r="Z2">
        <v>79</v>
      </c>
      <c r="AA2">
        <v>90.41</v>
      </c>
      <c r="AB2">
        <v>79</v>
      </c>
      <c r="AC2">
        <v>32</v>
      </c>
      <c r="AJ2">
        <v>4063</v>
      </c>
      <c r="AK2">
        <v>65008</v>
      </c>
      <c r="AL2">
        <v>104810.8</v>
      </c>
      <c r="AM2">
        <v>33746.51</v>
      </c>
      <c r="AN2">
        <v>138557.29999999999</v>
      </c>
      <c r="AO2">
        <v>0</v>
      </c>
      <c r="AP2">
        <v>11.54644</v>
      </c>
      <c r="AQ2">
        <v>0</v>
      </c>
      <c r="AR2">
        <v>61580.61</v>
      </c>
      <c r="AS2">
        <v>4980.8519999999999</v>
      </c>
      <c r="AT2">
        <v>2514.433</v>
      </c>
      <c r="BE2">
        <v>4063</v>
      </c>
      <c r="BF2">
        <v>7612.518</v>
      </c>
      <c r="BG2">
        <v>9224.6350000000002</v>
      </c>
      <c r="BH2">
        <v>2923.62</v>
      </c>
      <c r="BI2">
        <v>9498.1389999999992</v>
      </c>
      <c r="BJ2">
        <v>21426.69</v>
      </c>
      <c r="BK2">
        <v>283.26</v>
      </c>
      <c r="BL2">
        <v>12740.74</v>
      </c>
      <c r="BM2">
        <v>10048.65</v>
      </c>
      <c r="BN2">
        <v>0</v>
      </c>
      <c r="BO2">
        <v>0</v>
      </c>
      <c r="BP2">
        <v>0</v>
      </c>
      <c r="BQ2">
        <v>0</v>
      </c>
      <c r="BR2">
        <v>0</v>
      </c>
      <c r="BS2">
        <v>4636</v>
      </c>
      <c r="BT2">
        <v>16601.740000000002</v>
      </c>
      <c r="BU2">
        <v>8714</v>
      </c>
      <c r="BV2">
        <v>31218.94</v>
      </c>
      <c r="BW2">
        <v>0</v>
      </c>
      <c r="BX2">
        <v>0</v>
      </c>
      <c r="BY2">
        <v>71</v>
      </c>
      <c r="BZ2">
        <v>18637.5</v>
      </c>
      <c r="CA2">
        <v>14910</v>
      </c>
      <c r="CB2">
        <v>66458.179999999993</v>
      </c>
      <c r="CC2">
        <v>14910</v>
      </c>
      <c r="CD2">
        <v>0</v>
      </c>
      <c r="CE2">
        <v>0</v>
      </c>
      <c r="CF2">
        <v>0</v>
      </c>
      <c r="CG2">
        <v>0</v>
      </c>
      <c r="CH2">
        <v>0</v>
      </c>
      <c r="CI2">
        <v>0</v>
      </c>
      <c r="CJ2">
        <v>0</v>
      </c>
      <c r="CK2">
        <v>0</v>
      </c>
      <c r="CN2">
        <v>450</v>
      </c>
      <c r="CO2">
        <v>7418.8320000000003</v>
      </c>
      <c r="CP2">
        <v>18836.509999999998</v>
      </c>
      <c r="CS2">
        <v>450</v>
      </c>
      <c r="CT2">
        <v>20880.64</v>
      </c>
      <c r="CX2">
        <v>0</v>
      </c>
      <c r="CY2">
        <v>0</v>
      </c>
      <c r="CZ2">
        <v>0</v>
      </c>
      <c r="DB2">
        <v>0</v>
      </c>
      <c r="DC2">
        <v>0</v>
      </c>
      <c r="DD2">
        <v>701.3655</v>
      </c>
      <c r="DE2">
        <v>0</v>
      </c>
      <c r="DF2">
        <v>381.07639999999998</v>
      </c>
      <c r="DG2">
        <v>0</v>
      </c>
      <c r="DH2">
        <v>0</v>
      </c>
      <c r="DI2">
        <v>0</v>
      </c>
      <c r="DJ2">
        <v>0</v>
      </c>
      <c r="DK2">
        <v>0</v>
      </c>
      <c r="DL2">
        <v>0</v>
      </c>
      <c r="DM2">
        <v>0</v>
      </c>
      <c r="DR2">
        <v>0</v>
      </c>
      <c r="DS2">
        <v>0</v>
      </c>
    </row>
    <row r="3" spans="1:134">
      <c r="A3" t="s">
        <v>471</v>
      </c>
      <c r="B3" t="s">
        <v>472</v>
      </c>
      <c r="C3">
        <v>0</v>
      </c>
      <c r="D3" t="s">
        <v>474</v>
      </c>
      <c r="K3" t="s">
        <v>479</v>
      </c>
      <c r="L3" t="s">
        <v>480</v>
      </c>
      <c r="T3">
        <v>1</v>
      </c>
      <c r="U3">
        <v>24</v>
      </c>
      <c r="V3" t="s">
        <v>494</v>
      </c>
      <c r="W3">
        <v>30</v>
      </c>
      <c r="X3">
        <v>23</v>
      </c>
      <c r="Y3">
        <v>92</v>
      </c>
      <c r="Z3">
        <v>79</v>
      </c>
      <c r="AA3">
        <v>90.41</v>
      </c>
      <c r="AB3">
        <v>79</v>
      </c>
      <c r="AC3">
        <v>32</v>
      </c>
      <c r="AJ3">
        <v>4063</v>
      </c>
      <c r="AK3">
        <v>65008</v>
      </c>
      <c r="AL3">
        <v>104622.6</v>
      </c>
      <c r="AM3">
        <v>33746.51</v>
      </c>
      <c r="AN3">
        <v>138369.1</v>
      </c>
      <c r="AO3">
        <v>0</v>
      </c>
      <c r="AP3">
        <v>11.530760000000001</v>
      </c>
      <c r="AQ3">
        <v>0</v>
      </c>
      <c r="AR3">
        <v>61580.61</v>
      </c>
      <c r="AS3">
        <v>4967.8220000000001</v>
      </c>
      <c r="AT3">
        <v>2514.433</v>
      </c>
      <c r="BE3">
        <v>4063</v>
      </c>
      <c r="BF3">
        <v>7612.518</v>
      </c>
      <c r="BG3">
        <v>9224.6350000000002</v>
      </c>
      <c r="BH3">
        <v>2923.62</v>
      </c>
      <c r="BI3">
        <v>9498.1389999999992</v>
      </c>
      <c r="BJ3">
        <v>21426.69</v>
      </c>
      <c r="BK3">
        <v>283.26</v>
      </c>
      <c r="BL3">
        <v>12740.74</v>
      </c>
      <c r="BM3">
        <v>10048.65</v>
      </c>
      <c r="BN3">
        <v>0</v>
      </c>
      <c r="BO3">
        <v>0</v>
      </c>
      <c r="BP3">
        <v>0</v>
      </c>
      <c r="BQ3">
        <v>0</v>
      </c>
      <c r="BR3">
        <v>0</v>
      </c>
      <c r="BS3">
        <v>4636</v>
      </c>
      <c r="BT3">
        <v>16601.740000000002</v>
      </c>
      <c r="BU3">
        <v>8714</v>
      </c>
      <c r="BV3">
        <v>31218.94</v>
      </c>
      <c r="BW3">
        <v>0</v>
      </c>
      <c r="BX3">
        <v>0</v>
      </c>
      <c r="BY3">
        <v>71</v>
      </c>
      <c r="BZ3">
        <v>18637.5</v>
      </c>
      <c r="CA3">
        <v>14910</v>
      </c>
      <c r="CB3">
        <v>66458.179999999993</v>
      </c>
      <c r="CC3">
        <v>14910</v>
      </c>
      <c r="CD3">
        <v>0</v>
      </c>
      <c r="CE3">
        <v>0</v>
      </c>
      <c r="CF3">
        <v>0</v>
      </c>
      <c r="CG3">
        <v>0</v>
      </c>
      <c r="CH3">
        <v>0</v>
      </c>
      <c r="CI3">
        <v>0</v>
      </c>
      <c r="CJ3">
        <v>0</v>
      </c>
      <c r="CK3">
        <v>0</v>
      </c>
      <c r="CN3">
        <v>450</v>
      </c>
      <c r="CO3">
        <v>7418.8320000000003</v>
      </c>
      <c r="CP3">
        <v>18836.509999999998</v>
      </c>
      <c r="CS3">
        <v>450</v>
      </c>
      <c r="CT3">
        <v>20880.64</v>
      </c>
      <c r="CX3">
        <v>0</v>
      </c>
      <c r="CY3">
        <v>0</v>
      </c>
      <c r="CZ3">
        <v>0</v>
      </c>
      <c r="DB3">
        <v>0</v>
      </c>
      <c r="DC3">
        <v>0</v>
      </c>
      <c r="DD3">
        <v>699.53060000000005</v>
      </c>
      <c r="DE3">
        <v>0</v>
      </c>
      <c r="DF3">
        <v>194.6909</v>
      </c>
      <c r="DG3">
        <v>0</v>
      </c>
      <c r="DH3">
        <v>0</v>
      </c>
      <c r="DI3">
        <v>0</v>
      </c>
      <c r="DJ3">
        <v>0</v>
      </c>
      <c r="DK3">
        <v>0</v>
      </c>
      <c r="DL3">
        <v>0</v>
      </c>
      <c r="DM3">
        <v>0</v>
      </c>
      <c r="DR3">
        <v>0</v>
      </c>
      <c r="DS3">
        <v>0</v>
      </c>
    </row>
    <row r="4" spans="1:134">
      <c r="B4" t="s">
        <v>475</v>
      </c>
      <c r="C4">
        <v>3</v>
      </c>
      <c r="D4" t="s">
        <v>473</v>
      </c>
      <c r="E4">
        <v>1</v>
      </c>
      <c r="F4" t="s">
        <v>476</v>
      </c>
      <c r="G4">
        <v>1</v>
      </c>
      <c r="H4" t="s">
        <v>495</v>
      </c>
      <c r="I4">
        <v>0</v>
      </c>
      <c r="J4">
        <v>1</v>
      </c>
      <c r="K4" t="s">
        <v>479</v>
      </c>
      <c r="L4" t="s">
        <v>496</v>
      </c>
      <c r="Y4">
        <v>92</v>
      </c>
      <c r="Z4">
        <v>79</v>
      </c>
      <c r="AA4">
        <v>79.915999999999997</v>
      </c>
      <c r="AB4">
        <v>75.978999999999999</v>
      </c>
      <c r="AC4">
        <v>32</v>
      </c>
      <c r="AF4">
        <v>75</v>
      </c>
      <c r="AG4">
        <v>55</v>
      </c>
      <c r="AH4">
        <v>63.948740000000001</v>
      </c>
      <c r="AI4">
        <v>75</v>
      </c>
      <c r="AJ4">
        <v>204</v>
      </c>
      <c r="AK4">
        <v>3264</v>
      </c>
      <c r="AL4">
        <v>3198.29</v>
      </c>
      <c r="AM4">
        <v>210</v>
      </c>
      <c r="AN4">
        <v>3408.29</v>
      </c>
      <c r="AR4">
        <v>3725.7640000000001</v>
      </c>
      <c r="AS4">
        <v>169.10849999999999</v>
      </c>
      <c r="AT4">
        <v>230.17670000000001</v>
      </c>
      <c r="AU4" t="s">
        <v>477</v>
      </c>
      <c r="AV4">
        <v>0</v>
      </c>
      <c r="AW4">
        <v>0</v>
      </c>
      <c r="AX4">
        <v>0</v>
      </c>
      <c r="AY4">
        <v>1</v>
      </c>
      <c r="AZ4">
        <v>169.10849999999999</v>
      </c>
      <c r="BA4">
        <v>0</v>
      </c>
      <c r="BB4">
        <v>0</v>
      </c>
      <c r="BE4">
        <v>204</v>
      </c>
      <c r="BF4">
        <v>109.7561</v>
      </c>
      <c r="BG4">
        <v>463.16160000000002</v>
      </c>
      <c r="BH4">
        <v>456.8</v>
      </c>
      <c r="BI4">
        <v>1510.4490000000001</v>
      </c>
      <c r="BJ4">
        <v>3262.6030000000001</v>
      </c>
      <c r="BK4">
        <v>0</v>
      </c>
      <c r="BL4">
        <v>0</v>
      </c>
      <c r="BM4">
        <v>0</v>
      </c>
      <c r="BN4">
        <v>0</v>
      </c>
      <c r="BO4">
        <v>0</v>
      </c>
      <c r="BP4">
        <v>0</v>
      </c>
      <c r="BQ4">
        <v>0</v>
      </c>
      <c r="BR4">
        <v>0</v>
      </c>
      <c r="BS4">
        <v>163</v>
      </c>
      <c r="BT4">
        <v>584.70439999999996</v>
      </c>
      <c r="BU4">
        <v>204</v>
      </c>
      <c r="BV4">
        <v>730.88059999999996</v>
      </c>
      <c r="BW4">
        <v>0</v>
      </c>
      <c r="BX4">
        <v>0</v>
      </c>
      <c r="BY4">
        <v>1</v>
      </c>
      <c r="BZ4">
        <v>262.5</v>
      </c>
      <c r="CA4">
        <v>210</v>
      </c>
      <c r="CB4">
        <v>1578.085</v>
      </c>
      <c r="CC4">
        <v>210</v>
      </c>
      <c r="CD4">
        <v>0</v>
      </c>
      <c r="CE4">
        <v>0</v>
      </c>
      <c r="CF4">
        <v>0</v>
      </c>
      <c r="CL4" t="s">
        <v>497</v>
      </c>
      <c r="CM4">
        <v>26.402069999999998</v>
      </c>
      <c r="CN4">
        <v>17.017969999999998</v>
      </c>
      <c r="CQ4" t="s">
        <v>497</v>
      </c>
      <c r="CR4">
        <v>26.402069999999998</v>
      </c>
      <c r="CS4">
        <v>42.054279999999999</v>
      </c>
      <c r="CU4">
        <v>0</v>
      </c>
      <c r="CV4">
        <v>0</v>
      </c>
      <c r="CW4" t="s">
        <v>478</v>
      </c>
      <c r="CX4">
        <v>0</v>
      </c>
      <c r="CY4">
        <v>0</v>
      </c>
      <c r="CZ4">
        <v>0</v>
      </c>
      <c r="DA4" t="s">
        <v>478</v>
      </c>
      <c r="DB4">
        <v>0</v>
      </c>
      <c r="DC4">
        <v>0</v>
      </c>
      <c r="DN4">
        <v>0</v>
      </c>
      <c r="DO4">
        <v>0</v>
      </c>
    </row>
    <row r="5" spans="1:134">
      <c r="B5" t="s">
        <v>475</v>
      </c>
      <c r="C5">
        <v>3</v>
      </c>
      <c r="D5" t="s">
        <v>473</v>
      </c>
      <c r="E5">
        <v>1</v>
      </c>
      <c r="F5" t="s">
        <v>476</v>
      </c>
      <c r="G5">
        <v>2</v>
      </c>
      <c r="H5" t="s">
        <v>498</v>
      </c>
      <c r="I5">
        <v>0</v>
      </c>
      <c r="J5">
        <v>1</v>
      </c>
      <c r="K5" t="s">
        <v>479</v>
      </c>
      <c r="L5" t="s">
        <v>480</v>
      </c>
      <c r="Y5">
        <v>92</v>
      </c>
      <c r="Z5">
        <v>79</v>
      </c>
      <c r="AA5">
        <v>90.41</v>
      </c>
      <c r="AB5">
        <v>79</v>
      </c>
      <c r="AC5">
        <v>32</v>
      </c>
      <c r="AF5">
        <v>75</v>
      </c>
      <c r="AG5">
        <v>55</v>
      </c>
      <c r="AH5">
        <v>63.948740000000001</v>
      </c>
      <c r="AI5">
        <v>75</v>
      </c>
      <c r="AJ5">
        <v>140</v>
      </c>
      <c r="AK5">
        <v>2240</v>
      </c>
      <c r="AL5">
        <v>6303.317</v>
      </c>
      <c r="AM5">
        <v>1050</v>
      </c>
      <c r="AN5">
        <v>7353.317</v>
      </c>
      <c r="AR5">
        <v>3083.8319999999999</v>
      </c>
      <c r="AS5">
        <v>333.28579999999999</v>
      </c>
      <c r="AT5">
        <v>190.51830000000001</v>
      </c>
      <c r="AU5" t="s">
        <v>477</v>
      </c>
      <c r="AV5">
        <v>0</v>
      </c>
      <c r="AW5">
        <v>0</v>
      </c>
      <c r="AX5">
        <v>0</v>
      </c>
      <c r="AY5">
        <v>1</v>
      </c>
      <c r="AZ5">
        <v>333.28579999999999</v>
      </c>
      <c r="BA5">
        <v>0</v>
      </c>
      <c r="BB5">
        <v>0</v>
      </c>
      <c r="BE5">
        <v>140</v>
      </c>
      <c r="BF5">
        <v>262.30680000000001</v>
      </c>
      <c r="BG5">
        <v>317.85599999999999</v>
      </c>
      <c r="BH5">
        <v>97.3</v>
      </c>
      <c r="BI5">
        <v>305.4529</v>
      </c>
      <c r="BJ5">
        <v>694.94569999999999</v>
      </c>
      <c r="BK5">
        <v>58.38</v>
      </c>
      <c r="BL5">
        <v>3269.413</v>
      </c>
      <c r="BM5">
        <v>2071.0309999999999</v>
      </c>
      <c r="BN5">
        <v>0</v>
      </c>
      <c r="BO5">
        <v>0</v>
      </c>
      <c r="BP5">
        <v>0</v>
      </c>
      <c r="BQ5">
        <v>0</v>
      </c>
      <c r="BR5">
        <v>0</v>
      </c>
      <c r="BS5">
        <v>182</v>
      </c>
      <c r="BT5">
        <v>652.06020000000001</v>
      </c>
      <c r="BU5">
        <v>140</v>
      </c>
      <c r="BV5">
        <v>501.5847</v>
      </c>
      <c r="BW5">
        <v>0</v>
      </c>
      <c r="BX5">
        <v>0</v>
      </c>
      <c r="BY5">
        <v>5</v>
      </c>
      <c r="BZ5">
        <v>1312.5</v>
      </c>
      <c r="CA5">
        <v>1050</v>
      </c>
      <c r="CB5">
        <v>2466.145</v>
      </c>
      <c r="CC5">
        <v>1050</v>
      </c>
      <c r="CD5">
        <v>0</v>
      </c>
      <c r="CE5">
        <v>0</v>
      </c>
      <c r="CF5">
        <v>0</v>
      </c>
      <c r="CL5" t="s">
        <v>497</v>
      </c>
      <c r="CM5">
        <v>18.119070000000001</v>
      </c>
      <c r="CN5">
        <v>33.53969</v>
      </c>
      <c r="CQ5" t="s">
        <v>497</v>
      </c>
      <c r="CR5">
        <v>18.119070000000001</v>
      </c>
      <c r="CS5">
        <v>34.808520000000001</v>
      </c>
      <c r="CU5">
        <v>0</v>
      </c>
      <c r="CV5">
        <v>0</v>
      </c>
      <c r="CW5" t="s">
        <v>478</v>
      </c>
      <c r="CX5">
        <v>0</v>
      </c>
      <c r="CY5">
        <v>0</v>
      </c>
      <c r="CZ5">
        <v>0</v>
      </c>
      <c r="DA5" t="s">
        <v>478</v>
      </c>
      <c r="DB5">
        <v>0</v>
      </c>
      <c r="DC5">
        <v>0</v>
      </c>
      <c r="DN5">
        <v>0</v>
      </c>
      <c r="DO5">
        <v>0</v>
      </c>
    </row>
    <row r="6" spans="1:134">
      <c r="B6" t="s">
        <v>475</v>
      </c>
      <c r="C6">
        <v>3</v>
      </c>
      <c r="D6" t="s">
        <v>473</v>
      </c>
      <c r="E6">
        <v>1</v>
      </c>
      <c r="F6" t="s">
        <v>476</v>
      </c>
      <c r="G6">
        <v>3</v>
      </c>
      <c r="H6" t="s">
        <v>499</v>
      </c>
      <c r="I6">
        <v>0</v>
      </c>
      <c r="J6">
        <v>1</v>
      </c>
      <c r="K6" t="s">
        <v>479</v>
      </c>
      <c r="L6" t="s">
        <v>480</v>
      </c>
      <c r="Y6">
        <v>92</v>
      </c>
      <c r="Z6">
        <v>79</v>
      </c>
      <c r="AA6">
        <v>90.41</v>
      </c>
      <c r="AB6">
        <v>79</v>
      </c>
      <c r="AC6">
        <v>32</v>
      </c>
      <c r="AF6">
        <v>75</v>
      </c>
      <c r="AG6">
        <v>55</v>
      </c>
      <c r="AH6">
        <v>63.948740000000001</v>
      </c>
      <c r="AI6">
        <v>75</v>
      </c>
      <c r="AJ6">
        <v>890</v>
      </c>
      <c r="AK6">
        <v>14240</v>
      </c>
      <c r="AL6">
        <v>20538.25</v>
      </c>
      <c r="AM6">
        <v>4200</v>
      </c>
      <c r="AN6">
        <v>24738.25</v>
      </c>
      <c r="AR6">
        <v>5836.933</v>
      </c>
      <c r="AS6">
        <v>1085.953</v>
      </c>
      <c r="AT6">
        <v>360.60410000000002</v>
      </c>
      <c r="AU6" t="s">
        <v>477</v>
      </c>
      <c r="AV6">
        <v>0</v>
      </c>
      <c r="AW6">
        <v>0</v>
      </c>
      <c r="AX6">
        <v>0</v>
      </c>
      <c r="AY6">
        <v>1</v>
      </c>
      <c r="AZ6">
        <v>1085.953</v>
      </c>
      <c r="BA6">
        <v>0</v>
      </c>
      <c r="BB6">
        <v>0</v>
      </c>
      <c r="BE6">
        <v>890</v>
      </c>
      <c r="BF6">
        <v>1667.5219999999999</v>
      </c>
      <c r="BG6">
        <v>2020.6559999999999</v>
      </c>
      <c r="BH6">
        <v>162.4</v>
      </c>
      <c r="BI6">
        <v>509.82060000000001</v>
      </c>
      <c r="BJ6">
        <v>1159.9090000000001</v>
      </c>
      <c r="BK6">
        <v>74.88</v>
      </c>
      <c r="BL6">
        <v>4193.45</v>
      </c>
      <c r="BM6">
        <v>2656.3679999999999</v>
      </c>
      <c r="BN6">
        <v>0</v>
      </c>
      <c r="BO6">
        <v>0</v>
      </c>
      <c r="BP6">
        <v>0</v>
      </c>
      <c r="BQ6">
        <v>0</v>
      </c>
      <c r="BR6">
        <v>0</v>
      </c>
      <c r="BS6">
        <v>1157</v>
      </c>
      <c r="BT6">
        <v>4145.2389999999996</v>
      </c>
      <c r="BU6">
        <v>1332</v>
      </c>
      <c r="BV6">
        <v>4772.2209999999995</v>
      </c>
      <c r="BW6">
        <v>0</v>
      </c>
      <c r="BX6">
        <v>0</v>
      </c>
      <c r="BY6">
        <v>20</v>
      </c>
      <c r="BZ6">
        <v>5250</v>
      </c>
      <c r="CA6">
        <v>4200</v>
      </c>
      <c r="CB6">
        <v>14167.46</v>
      </c>
      <c r="CC6">
        <v>4200</v>
      </c>
      <c r="CD6">
        <v>0</v>
      </c>
      <c r="CE6">
        <v>0</v>
      </c>
      <c r="CF6">
        <v>0</v>
      </c>
      <c r="CL6" t="s">
        <v>497</v>
      </c>
      <c r="CM6">
        <v>115.1855</v>
      </c>
      <c r="CN6">
        <v>109.28319999999999</v>
      </c>
      <c r="CQ6" t="s">
        <v>497</v>
      </c>
      <c r="CR6">
        <v>115.1855</v>
      </c>
      <c r="CS6">
        <v>65.883930000000007</v>
      </c>
      <c r="CU6">
        <v>0</v>
      </c>
      <c r="CV6">
        <v>0</v>
      </c>
      <c r="CW6" t="s">
        <v>478</v>
      </c>
      <c r="CX6">
        <v>0</v>
      </c>
      <c r="CY6">
        <v>0</v>
      </c>
      <c r="CZ6">
        <v>0</v>
      </c>
      <c r="DA6" t="s">
        <v>478</v>
      </c>
      <c r="DB6">
        <v>0</v>
      </c>
      <c r="DC6">
        <v>0</v>
      </c>
      <c r="DN6">
        <v>0</v>
      </c>
      <c r="DO6">
        <v>0</v>
      </c>
    </row>
    <row r="7" spans="1:134">
      <c r="B7" t="s">
        <v>475</v>
      </c>
      <c r="C7">
        <v>3</v>
      </c>
      <c r="D7" t="s">
        <v>473</v>
      </c>
      <c r="E7">
        <v>1</v>
      </c>
      <c r="F7" t="s">
        <v>476</v>
      </c>
      <c r="G7">
        <v>9</v>
      </c>
      <c r="H7" t="s">
        <v>500</v>
      </c>
      <c r="I7">
        <v>0</v>
      </c>
      <c r="J7">
        <v>1</v>
      </c>
      <c r="K7" t="s">
        <v>479</v>
      </c>
      <c r="L7" t="s">
        <v>483</v>
      </c>
      <c r="Y7">
        <v>92</v>
      </c>
      <c r="Z7">
        <v>79</v>
      </c>
      <c r="AA7">
        <v>91.522999999999996</v>
      </c>
      <c r="AB7">
        <v>79</v>
      </c>
      <c r="AC7">
        <v>32</v>
      </c>
      <c r="AF7">
        <v>75</v>
      </c>
      <c r="AG7">
        <v>55</v>
      </c>
      <c r="AH7">
        <v>63.948740000000001</v>
      </c>
      <c r="AI7">
        <v>75</v>
      </c>
      <c r="AJ7">
        <v>195</v>
      </c>
      <c r="AK7">
        <v>3120</v>
      </c>
      <c r="AL7">
        <v>1632.7280000000001</v>
      </c>
      <c r="AM7">
        <v>0</v>
      </c>
      <c r="AN7">
        <v>1632.7280000000001</v>
      </c>
      <c r="AR7">
        <v>442.72800000000001</v>
      </c>
      <c r="AS7">
        <v>86.32996</v>
      </c>
      <c r="AT7">
        <v>27.351610000000001</v>
      </c>
      <c r="AU7" t="s">
        <v>477</v>
      </c>
      <c r="AV7">
        <v>0</v>
      </c>
      <c r="AW7">
        <v>0</v>
      </c>
      <c r="AX7">
        <v>0</v>
      </c>
      <c r="AY7">
        <v>1</v>
      </c>
      <c r="AZ7">
        <v>86.32996</v>
      </c>
      <c r="BA7">
        <v>0</v>
      </c>
      <c r="BB7">
        <v>0</v>
      </c>
      <c r="BE7">
        <v>195</v>
      </c>
      <c r="BF7">
        <v>375.18389999999999</v>
      </c>
      <c r="BG7">
        <v>442.72800000000001</v>
      </c>
      <c r="BH7">
        <v>0</v>
      </c>
      <c r="BI7">
        <v>0</v>
      </c>
      <c r="BJ7">
        <v>0</v>
      </c>
      <c r="BK7">
        <v>0</v>
      </c>
      <c r="BL7">
        <v>0</v>
      </c>
      <c r="BM7">
        <v>0</v>
      </c>
      <c r="BN7">
        <v>0</v>
      </c>
      <c r="BO7">
        <v>0</v>
      </c>
      <c r="BP7">
        <v>0</v>
      </c>
      <c r="BQ7">
        <v>0</v>
      </c>
      <c r="BR7">
        <v>0</v>
      </c>
      <c r="BS7">
        <v>156</v>
      </c>
      <c r="BT7">
        <v>558.90869999999995</v>
      </c>
      <c r="BU7">
        <v>195</v>
      </c>
      <c r="BV7">
        <v>698.63589999999999</v>
      </c>
      <c r="BW7">
        <v>0</v>
      </c>
      <c r="BX7">
        <v>0</v>
      </c>
      <c r="BY7">
        <v>0</v>
      </c>
      <c r="BZ7">
        <v>0</v>
      </c>
      <c r="CA7">
        <v>0</v>
      </c>
      <c r="CB7">
        <v>1257.5450000000001</v>
      </c>
      <c r="CC7">
        <v>0</v>
      </c>
      <c r="CD7">
        <v>0</v>
      </c>
      <c r="CE7">
        <v>0</v>
      </c>
      <c r="CF7">
        <v>0</v>
      </c>
      <c r="CL7" t="s">
        <v>497</v>
      </c>
      <c r="CM7">
        <v>25.237269999999999</v>
      </c>
      <c r="CN7">
        <v>8.6876789999999993</v>
      </c>
      <c r="CQ7" t="s">
        <v>497</v>
      </c>
      <c r="CR7">
        <v>25.237269999999999</v>
      </c>
      <c r="CS7">
        <v>4.9972580000000004</v>
      </c>
      <c r="CU7">
        <v>0</v>
      </c>
      <c r="CV7">
        <v>0</v>
      </c>
      <c r="CW7" t="s">
        <v>478</v>
      </c>
      <c r="CX7">
        <v>0</v>
      </c>
      <c r="CY7">
        <v>0</v>
      </c>
      <c r="CZ7">
        <v>0</v>
      </c>
      <c r="DA7" t="s">
        <v>478</v>
      </c>
      <c r="DB7">
        <v>0</v>
      </c>
      <c r="DC7">
        <v>0</v>
      </c>
      <c r="DN7">
        <v>0</v>
      </c>
      <c r="DO7">
        <v>0</v>
      </c>
    </row>
    <row r="8" spans="1:134">
      <c r="B8" t="s">
        <v>475</v>
      </c>
      <c r="C8">
        <v>3</v>
      </c>
      <c r="D8" t="s">
        <v>473</v>
      </c>
      <c r="E8">
        <v>1</v>
      </c>
      <c r="F8" t="s">
        <v>476</v>
      </c>
      <c r="G8">
        <v>10</v>
      </c>
      <c r="H8" t="s">
        <v>501</v>
      </c>
      <c r="I8">
        <v>0</v>
      </c>
      <c r="J8">
        <v>1</v>
      </c>
      <c r="K8" t="s">
        <v>479</v>
      </c>
      <c r="L8" t="s">
        <v>502</v>
      </c>
      <c r="Y8">
        <v>92</v>
      </c>
      <c r="Z8">
        <v>79</v>
      </c>
      <c r="AA8">
        <v>86.593999999999994</v>
      </c>
      <c r="AB8">
        <v>77.887</v>
      </c>
      <c r="AC8">
        <v>32</v>
      </c>
      <c r="AF8">
        <v>75</v>
      </c>
      <c r="AG8">
        <v>55</v>
      </c>
      <c r="AH8">
        <v>63.948740000000001</v>
      </c>
      <c r="AI8">
        <v>75</v>
      </c>
      <c r="AJ8">
        <v>85</v>
      </c>
      <c r="AK8">
        <v>1360</v>
      </c>
      <c r="AL8">
        <v>1521.0119999999999</v>
      </c>
      <c r="AM8">
        <v>0</v>
      </c>
      <c r="AN8">
        <v>1521.0119999999999</v>
      </c>
      <c r="AR8">
        <v>1764.511</v>
      </c>
      <c r="AS8">
        <v>80.423019999999994</v>
      </c>
      <c r="AT8">
        <v>109.011</v>
      </c>
      <c r="AU8" t="s">
        <v>477</v>
      </c>
      <c r="AV8">
        <v>0</v>
      </c>
      <c r="AW8">
        <v>0</v>
      </c>
      <c r="AX8">
        <v>0</v>
      </c>
      <c r="AY8">
        <v>1</v>
      </c>
      <c r="AZ8">
        <v>80.423019999999994</v>
      </c>
      <c r="BA8">
        <v>0</v>
      </c>
      <c r="BB8">
        <v>0</v>
      </c>
      <c r="BE8">
        <v>85</v>
      </c>
      <c r="BF8">
        <v>129.2697</v>
      </c>
      <c r="BG8">
        <v>192.98400000000001</v>
      </c>
      <c r="BH8">
        <v>143.68</v>
      </c>
      <c r="BI8">
        <v>934.94240000000002</v>
      </c>
      <c r="BJ8">
        <v>1571.527</v>
      </c>
      <c r="BK8">
        <v>0</v>
      </c>
      <c r="BL8">
        <v>0</v>
      </c>
      <c r="BM8">
        <v>0</v>
      </c>
      <c r="BN8">
        <v>0</v>
      </c>
      <c r="BO8">
        <v>0</v>
      </c>
      <c r="BP8">
        <v>0</v>
      </c>
      <c r="BQ8">
        <v>0</v>
      </c>
      <c r="BR8">
        <v>0</v>
      </c>
      <c r="BS8">
        <v>43</v>
      </c>
      <c r="BT8">
        <v>152.26679999999999</v>
      </c>
      <c r="BU8">
        <v>85</v>
      </c>
      <c r="BV8">
        <v>304.53359999999998</v>
      </c>
      <c r="BW8">
        <v>0</v>
      </c>
      <c r="BX8">
        <v>0</v>
      </c>
      <c r="BY8">
        <v>0</v>
      </c>
      <c r="BZ8">
        <v>0</v>
      </c>
      <c r="CA8">
        <v>0</v>
      </c>
      <c r="CB8">
        <v>456.80040000000002</v>
      </c>
      <c r="CC8">
        <v>0</v>
      </c>
      <c r="CD8">
        <v>0</v>
      </c>
      <c r="CE8">
        <v>0</v>
      </c>
      <c r="CF8">
        <v>0</v>
      </c>
      <c r="CL8" t="s">
        <v>497</v>
      </c>
      <c r="CM8">
        <v>11.000859999999999</v>
      </c>
      <c r="CN8">
        <v>8.0932440000000003</v>
      </c>
      <c r="CQ8" t="s">
        <v>497</v>
      </c>
      <c r="CR8">
        <v>11.000859999999999</v>
      </c>
      <c r="CS8">
        <v>19.916779999999999</v>
      </c>
      <c r="CU8">
        <v>0</v>
      </c>
      <c r="CV8">
        <v>0</v>
      </c>
      <c r="CW8" t="s">
        <v>478</v>
      </c>
      <c r="CX8">
        <v>0</v>
      </c>
      <c r="CY8">
        <v>0</v>
      </c>
      <c r="CZ8">
        <v>0</v>
      </c>
      <c r="DA8" t="s">
        <v>478</v>
      </c>
      <c r="DB8">
        <v>0</v>
      </c>
      <c r="DC8">
        <v>0</v>
      </c>
      <c r="DN8">
        <v>0</v>
      </c>
      <c r="DO8">
        <v>0</v>
      </c>
    </row>
    <row r="9" spans="1:134">
      <c r="B9" t="s">
        <v>475</v>
      </c>
      <c r="C9">
        <v>3</v>
      </c>
      <c r="D9" t="s">
        <v>473</v>
      </c>
      <c r="E9">
        <v>1</v>
      </c>
      <c r="F9" t="s">
        <v>476</v>
      </c>
      <c r="G9">
        <v>11</v>
      </c>
      <c r="H9" t="s">
        <v>503</v>
      </c>
      <c r="I9">
        <v>0</v>
      </c>
      <c r="J9">
        <v>1</v>
      </c>
      <c r="K9" t="s">
        <v>479</v>
      </c>
      <c r="L9" t="s">
        <v>480</v>
      </c>
      <c r="Y9">
        <v>92</v>
      </c>
      <c r="Z9">
        <v>79</v>
      </c>
      <c r="AA9">
        <v>90.41</v>
      </c>
      <c r="AB9">
        <v>79</v>
      </c>
      <c r="AC9">
        <v>32</v>
      </c>
      <c r="AF9">
        <v>75</v>
      </c>
      <c r="AG9">
        <v>55</v>
      </c>
      <c r="AH9">
        <v>63.948740000000001</v>
      </c>
      <c r="AI9">
        <v>75</v>
      </c>
      <c r="AJ9">
        <v>62</v>
      </c>
      <c r="AK9">
        <v>992</v>
      </c>
      <c r="AL9">
        <v>1305.327</v>
      </c>
      <c r="AM9">
        <v>210</v>
      </c>
      <c r="AN9">
        <v>1515.327</v>
      </c>
      <c r="AR9">
        <v>1021.8390000000001</v>
      </c>
      <c r="AS9">
        <v>69.018730000000005</v>
      </c>
      <c r="AT9">
        <v>63.128929999999997</v>
      </c>
      <c r="AU9" t="s">
        <v>477</v>
      </c>
      <c r="AV9">
        <v>0</v>
      </c>
      <c r="AW9">
        <v>0</v>
      </c>
      <c r="AX9">
        <v>0</v>
      </c>
      <c r="AY9">
        <v>1</v>
      </c>
      <c r="AZ9">
        <v>69.018730000000005</v>
      </c>
      <c r="BA9">
        <v>0</v>
      </c>
      <c r="BB9">
        <v>0</v>
      </c>
      <c r="BE9">
        <v>62</v>
      </c>
      <c r="BF9">
        <v>116.1644</v>
      </c>
      <c r="BG9">
        <v>140.76480000000001</v>
      </c>
      <c r="BH9">
        <v>123.36</v>
      </c>
      <c r="BI9">
        <v>504.61509999999998</v>
      </c>
      <c r="BJ9">
        <v>881.07410000000004</v>
      </c>
      <c r="BK9">
        <v>0</v>
      </c>
      <c r="BL9">
        <v>0</v>
      </c>
      <c r="BM9">
        <v>0</v>
      </c>
      <c r="BN9">
        <v>0</v>
      </c>
      <c r="BO9">
        <v>0</v>
      </c>
      <c r="BP9">
        <v>0</v>
      </c>
      <c r="BQ9">
        <v>0</v>
      </c>
      <c r="BR9">
        <v>0</v>
      </c>
      <c r="BS9">
        <v>56</v>
      </c>
      <c r="BT9">
        <v>199.91730000000001</v>
      </c>
      <c r="BU9">
        <v>62</v>
      </c>
      <c r="BV9">
        <v>222.13040000000001</v>
      </c>
      <c r="BW9">
        <v>0</v>
      </c>
      <c r="BX9">
        <v>0</v>
      </c>
      <c r="BY9">
        <v>1</v>
      </c>
      <c r="BZ9">
        <v>262.5</v>
      </c>
      <c r="CA9">
        <v>210</v>
      </c>
      <c r="CB9">
        <v>684.54769999999996</v>
      </c>
      <c r="CC9">
        <v>210</v>
      </c>
      <c r="CD9">
        <v>0</v>
      </c>
      <c r="CE9">
        <v>0</v>
      </c>
      <c r="CF9">
        <v>0</v>
      </c>
      <c r="CL9" t="s">
        <v>497</v>
      </c>
      <c r="CM9">
        <v>8.0241579999999999</v>
      </c>
      <c r="CN9">
        <v>6.9455910000000003</v>
      </c>
      <c r="CQ9" t="s">
        <v>497</v>
      </c>
      <c r="CR9">
        <v>8.0241579999999999</v>
      </c>
      <c r="CS9">
        <v>11.53393</v>
      </c>
      <c r="CU9">
        <v>0</v>
      </c>
      <c r="CV9">
        <v>0</v>
      </c>
      <c r="CW9" t="s">
        <v>478</v>
      </c>
      <c r="CX9">
        <v>0</v>
      </c>
      <c r="CY9">
        <v>0</v>
      </c>
      <c r="CZ9">
        <v>0</v>
      </c>
      <c r="DA9" t="s">
        <v>478</v>
      </c>
      <c r="DB9">
        <v>0</v>
      </c>
      <c r="DC9">
        <v>0</v>
      </c>
      <c r="DN9">
        <v>0</v>
      </c>
      <c r="DO9">
        <v>0</v>
      </c>
    </row>
    <row r="10" spans="1:134">
      <c r="B10" t="s">
        <v>475</v>
      </c>
      <c r="C10">
        <v>3</v>
      </c>
      <c r="D10" t="s">
        <v>473</v>
      </c>
      <c r="E10">
        <v>1</v>
      </c>
      <c r="F10" t="s">
        <v>476</v>
      </c>
      <c r="G10">
        <v>12</v>
      </c>
      <c r="H10" t="s">
        <v>504</v>
      </c>
      <c r="I10">
        <v>0</v>
      </c>
      <c r="J10">
        <v>1</v>
      </c>
      <c r="K10" t="s">
        <v>479</v>
      </c>
      <c r="L10" t="s">
        <v>480</v>
      </c>
      <c r="Y10">
        <v>92</v>
      </c>
      <c r="Z10">
        <v>79</v>
      </c>
      <c r="AA10">
        <v>90.41</v>
      </c>
      <c r="AB10">
        <v>79</v>
      </c>
      <c r="AC10">
        <v>32</v>
      </c>
      <c r="AF10">
        <v>75</v>
      </c>
      <c r="AG10">
        <v>55</v>
      </c>
      <c r="AH10">
        <v>63.948740000000001</v>
      </c>
      <c r="AI10">
        <v>75</v>
      </c>
      <c r="AJ10">
        <v>62</v>
      </c>
      <c r="AK10">
        <v>992</v>
      </c>
      <c r="AL10">
        <v>1305.327</v>
      </c>
      <c r="AM10">
        <v>210</v>
      </c>
      <c r="AN10">
        <v>1515.327</v>
      </c>
      <c r="AR10">
        <v>1021.8390000000001</v>
      </c>
      <c r="AS10">
        <v>69.018730000000005</v>
      </c>
      <c r="AT10">
        <v>63.128929999999997</v>
      </c>
      <c r="AU10" t="s">
        <v>477</v>
      </c>
      <c r="AV10">
        <v>0</v>
      </c>
      <c r="AW10">
        <v>0</v>
      </c>
      <c r="AX10">
        <v>0</v>
      </c>
      <c r="AY10">
        <v>1</v>
      </c>
      <c r="AZ10">
        <v>69.018730000000005</v>
      </c>
      <c r="BA10">
        <v>0</v>
      </c>
      <c r="BB10">
        <v>0</v>
      </c>
      <c r="BE10">
        <v>62</v>
      </c>
      <c r="BF10">
        <v>116.1644</v>
      </c>
      <c r="BG10">
        <v>140.76480000000001</v>
      </c>
      <c r="BH10">
        <v>123.36</v>
      </c>
      <c r="BI10">
        <v>504.61509999999998</v>
      </c>
      <c r="BJ10">
        <v>881.07410000000004</v>
      </c>
      <c r="BK10">
        <v>0</v>
      </c>
      <c r="BL10">
        <v>0</v>
      </c>
      <c r="BM10">
        <v>0</v>
      </c>
      <c r="BN10">
        <v>0</v>
      </c>
      <c r="BO10">
        <v>0</v>
      </c>
      <c r="BP10">
        <v>0</v>
      </c>
      <c r="BQ10">
        <v>0</v>
      </c>
      <c r="BR10">
        <v>0</v>
      </c>
      <c r="BS10">
        <v>56</v>
      </c>
      <c r="BT10">
        <v>199.91730000000001</v>
      </c>
      <c r="BU10">
        <v>62</v>
      </c>
      <c r="BV10">
        <v>222.13040000000001</v>
      </c>
      <c r="BW10">
        <v>0</v>
      </c>
      <c r="BX10">
        <v>0</v>
      </c>
      <c r="BY10">
        <v>1</v>
      </c>
      <c r="BZ10">
        <v>262.5</v>
      </c>
      <c r="CA10">
        <v>210</v>
      </c>
      <c r="CB10">
        <v>684.54769999999996</v>
      </c>
      <c r="CC10">
        <v>210</v>
      </c>
      <c r="CD10">
        <v>0</v>
      </c>
      <c r="CE10">
        <v>0</v>
      </c>
      <c r="CF10">
        <v>0</v>
      </c>
      <c r="CL10" t="s">
        <v>497</v>
      </c>
      <c r="CM10">
        <v>8.0241579999999999</v>
      </c>
      <c r="CN10">
        <v>6.9455910000000003</v>
      </c>
      <c r="CQ10" t="s">
        <v>497</v>
      </c>
      <c r="CR10">
        <v>8.0241579999999999</v>
      </c>
      <c r="CS10">
        <v>11.53393</v>
      </c>
      <c r="CU10">
        <v>0</v>
      </c>
      <c r="CV10">
        <v>0</v>
      </c>
      <c r="CW10" t="s">
        <v>478</v>
      </c>
      <c r="CX10">
        <v>0</v>
      </c>
      <c r="CY10">
        <v>0</v>
      </c>
      <c r="CZ10">
        <v>0</v>
      </c>
      <c r="DA10" t="s">
        <v>478</v>
      </c>
      <c r="DB10">
        <v>0</v>
      </c>
      <c r="DC10">
        <v>0</v>
      </c>
      <c r="DN10">
        <v>0</v>
      </c>
      <c r="DO10">
        <v>0</v>
      </c>
    </row>
    <row r="11" spans="1:134">
      <c r="B11" t="s">
        <v>475</v>
      </c>
      <c r="C11">
        <v>3</v>
      </c>
      <c r="D11" t="s">
        <v>473</v>
      </c>
      <c r="E11">
        <v>1</v>
      </c>
      <c r="F11" t="s">
        <v>476</v>
      </c>
      <c r="G11">
        <v>13</v>
      </c>
      <c r="H11" t="s">
        <v>505</v>
      </c>
      <c r="I11">
        <v>0</v>
      </c>
      <c r="J11">
        <v>1</v>
      </c>
      <c r="K11" t="s">
        <v>479</v>
      </c>
      <c r="L11" t="s">
        <v>502</v>
      </c>
      <c r="Y11">
        <v>92</v>
      </c>
      <c r="Z11">
        <v>79</v>
      </c>
      <c r="AA11">
        <v>86.593999999999994</v>
      </c>
      <c r="AB11">
        <v>77.887</v>
      </c>
      <c r="AC11">
        <v>32</v>
      </c>
      <c r="AF11">
        <v>75</v>
      </c>
      <c r="AG11">
        <v>55</v>
      </c>
      <c r="AH11">
        <v>63.948740000000001</v>
      </c>
      <c r="AI11">
        <v>75</v>
      </c>
      <c r="AJ11">
        <v>75</v>
      </c>
      <c r="AK11">
        <v>1200</v>
      </c>
      <c r="AL11">
        <v>1977.9359999999999</v>
      </c>
      <c r="AM11">
        <v>210</v>
      </c>
      <c r="AN11">
        <v>2187.9360000000001</v>
      </c>
      <c r="AR11">
        <v>2408.962</v>
      </c>
      <c r="AS11">
        <v>104.5827</v>
      </c>
      <c r="AT11">
        <v>148.82499999999999</v>
      </c>
      <c r="AU11" t="s">
        <v>477</v>
      </c>
      <c r="AV11">
        <v>0</v>
      </c>
      <c r="AW11">
        <v>0</v>
      </c>
      <c r="AX11">
        <v>0</v>
      </c>
      <c r="AY11">
        <v>1</v>
      </c>
      <c r="AZ11">
        <v>104.5827</v>
      </c>
      <c r="BA11">
        <v>0</v>
      </c>
      <c r="BB11">
        <v>0</v>
      </c>
      <c r="BE11">
        <v>75</v>
      </c>
      <c r="BF11">
        <v>114.0615</v>
      </c>
      <c r="BG11">
        <v>170.28</v>
      </c>
      <c r="BH11">
        <v>313.44</v>
      </c>
      <c r="BI11">
        <v>929.60900000000004</v>
      </c>
      <c r="BJ11">
        <v>2238.6819999999998</v>
      </c>
      <c r="BK11">
        <v>0</v>
      </c>
      <c r="BL11">
        <v>0</v>
      </c>
      <c r="BM11">
        <v>0</v>
      </c>
      <c r="BN11">
        <v>0</v>
      </c>
      <c r="BO11">
        <v>0</v>
      </c>
      <c r="BP11">
        <v>0</v>
      </c>
      <c r="BQ11">
        <v>0</v>
      </c>
      <c r="BR11">
        <v>0</v>
      </c>
      <c r="BS11">
        <v>113</v>
      </c>
      <c r="BT11">
        <v>403.0591</v>
      </c>
      <c r="BU11">
        <v>75</v>
      </c>
      <c r="BV11">
        <v>268.70609999999999</v>
      </c>
      <c r="BW11">
        <v>0</v>
      </c>
      <c r="BX11">
        <v>0</v>
      </c>
      <c r="BY11">
        <v>1</v>
      </c>
      <c r="BZ11">
        <v>262.5</v>
      </c>
      <c r="CA11">
        <v>210</v>
      </c>
      <c r="CB11">
        <v>934.26530000000002</v>
      </c>
      <c r="CC11">
        <v>210</v>
      </c>
      <c r="CD11">
        <v>0</v>
      </c>
      <c r="CE11">
        <v>0</v>
      </c>
      <c r="CF11">
        <v>0</v>
      </c>
      <c r="CL11" t="s">
        <v>497</v>
      </c>
      <c r="CM11">
        <v>9.7066440000000007</v>
      </c>
      <c r="CN11">
        <v>10.524509999999999</v>
      </c>
      <c r="CQ11" t="s">
        <v>497</v>
      </c>
      <c r="CR11">
        <v>9.7066440000000007</v>
      </c>
      <c r="CS11">
        <v>27.19098</v>
      </c>
      <c r="CU11">
        <v>0</v>
      </c>
      <c r="CV11">
        <v>0</v>
      </c>
      <c r="CW11" t="s">
        <v>478</v>
      </c>
      <c r="CX11">
        <v>0</v>
      </c>
      <c r="CY11">
        <v>0</v>
      </c>
      <c r="CZ11">
        <v>0</v>
      </c>
      <c r="DA11" t="s">
        <v>478</v>
      </c>
      <c r="DB11">
        <v>0</v>
      </c>
      <c r="DC11">
        <v>0</v>
      </c>
      <c r="DN11">
        <v>0</v>
      </c>
      <c r="DO11">
        <v>0</v>
      </c>
    </row>
    <row r="12" spans="1:134">
      <c r="B12" t="s">
        <v>475</v>
      </c>
      <c r="C12">
        <v>3</v>
      </c>
      <c r="D12" t="s">
        <v>473</v>
      </c>
      <c r="E12">
        <v>1</v>
      </c>
      <c r="F12" t="s">
        <v>476</v>
      </c>
      <c r="G12">
        <v>14</v>
      </c>
      <c r="H12" t="s">
        <v>506</v>
      </c>
      <c r="I12">
        <v>0</v>
      </c>
      <c r="J12">
        <v>1</v>
      </c>
      <c r="K12" t="s">
        <v>479</v>
      </c>
      <c r="L12" t="s">
        <v>483</v>
      </c>
      <c r="Y12">
        <v>92</v>
      </c>
      <c r="Z12">
        <v>79</v>
      </c>
      <c r="AA12">
        <v>91.522999999999996</v>
      </c>
      <c r="AB12">
        <v>79</v>
      </c>
      <c r="AC12">
        <v>32</v>
      </c>
      <c r="AF12">
        <v>75</v>
      </c>
      <c r="AG12">
        <v>55</v>
      </c>
      <c r="AH12">
        <v>63.948740000000001</v>
      </c>
      <c r="AI12">
        <v>75</v>
      </c>
      <c r="AJ12">
        <v>150</v>
      </c>
      <c r="AK12">
        <v>2400</v>
      </c>
      <c r="AL12">
        <v>1094.721</v>
      </c>
      <c r="AM12">
        <v>0</v>
      </c>
      <c r="AN12">
        <v>1094.721</v>
      </c>
      <c r="AR12">
        <v>340.56</v>
      </c>
      <c r="AS12">
        <v>57.883020000000002</v>
      </c>
      <c r="AT12">
        <v>21.0397</v>
      </c>
      <c r="AU12" t="s">
        <v>477</v>
      </c>
      <c r="AV12">
        <v>0</v>
      </c>
      <c r="AW12">
        <v>0</v>
      </c>
      <c r="AX12">
        <v>0</v>
      </c>
      <c r="AY12">
        <v>1</v>
      </c>
      <c r="AZ12">
        <v>57.883020000000002</v>
      </c>
      <c r="BA12">
        <v>0</v>
      </c>
      <c r="BB12">
        <v>0</v>
      </c>
      <c r="BE12">
        <v>150</v>
      </c>
      <c r="BF12">
        <v>288.60300000000001</v>
      </c>
      <c r="BG12">
        <v>340.56</v>
      </c>
      <c r="BH12">
        <v>0</v>
      </c>
      <c r="BI12">
        <v>0</v>
      </c>
      <c r="BJ12">
        <v>0</v>
      </c>
      <c r="BK12">
        <v>0</v>
      </c>
      <c r="BL12">
        <v>0</v>
      </c>
      <c r="BM12">
        <v>0</v>
      </c>
      <c r="BN12">
        <v>0</v>
      </c>
      <c r="BO12">
        <v>0</v>
      </c>
      <c r="BP12">
        <v>0</v>
      </c>
      <c r="BQ12">
        <v>0</v>
      </c>
      <c r="BR12">
        <v>0</v>
      </c>
      <c r="BS12">
        <v>75</v>
      </c>
      <c r="BT12">
        <v>268.70609999999999</v>
      </c>
      <c r="BU12">
        <v>150</v>
      </c>
      <c r="BV12">
        <v>537.41219999999998</v>
      </c>
      <c r="BW12">
        <v>0</v>
      </c>
      <c r="BX12">
        <v>0</v>
      </c>
      <c r="BY12">
        <v>0</v>
      </c>
      <c r="BZ12">
        <v>0</v>
      </c>
      <c r="CA12">
        <v>0</v>
      </c>
      <c r="CB12">
        <v>806.11829999999998</v>
      </c>
      <c r="CC12">
        <v>0</v>
      </c>
      <c r="CD12">
        <v>0</v>
      </c>
      <c r="CE12">
        <v>0</v>
      </c>
      <c r="CF12">
        <v>0</v>
      </c>
      <c r="CL12" t="s">
        <v>497</v>
      </c>
      <c r="CM12">
        <v>19.41329</v>
      </c>
      <c r="CN12">
        <v>5.8249659999999999</v>
      </c>
      <c r="CQ12" t="s">
        <v>497</v>
      </c>
      <c r="CR12">
        <v>19.41329</v>
      </c>
      <c r="CS12">
        <v>3.8440449999999999</v>
      </c>
      <c r="CU12">
        <v>0</v>
      </c>
      <c r="CV12">
        <v>0</v>
      </c>
      <c r="CW12" t="s">
        <v>478</v>
      </c>
      <c r="CX12">
        <v>0</v>
      </c>
      <c r="CY12">
        <v>0</v>
      </c>
      <c r="CZ12">
        <v>0</v>
      </c>
      <c r="DA12" t="s">
        <v>478</v>
      </c>
      <c r="DB12">
        <v>0</v>
      </c>
      <c r="DC12">
        <v>0</v>
      </c>
      <c r="DN12">
        <v>0</v>
      </c>
      <c r="DO12">
        <v>0</v>
      </c>
    </row>
    <row r="13" spans="1:134">
      <c r="B13" t="s">
        <v>475</v>
      </c>
      <c r="C13">
        <v>3</v>
      </c>
      <c r="D13" t="s">
        <v>473</v>
      </c>
      <c r="E13">
        <v>1</v>
      </c>
      <c r="F13" t="s">
        <v>476</v>
      </c>
      <c r="G13">
        <v>15</v>
      </c>
      <c r="H13" t="s">
        <v>507</v>
      </c>
      <c r="I13">
        <v>0</v>
      </c>
      <c r="J13">
        <v>1</v>
      </c>
      <c r="K13" t="s">
        <v>479</v>
      </c>
      <c r="L13" t="s">
        <v>483</v>
      </c>
      <c r="Y13">
        <v>92</v>
      </c>
      <c r="Z13">
        <v>79</v>
      </c>
      <c r="AA13">
        <v>91.522999999999996</v>
      </c>
      <c r="AB13">
        <v>79</v>
      </c>
      <c r="AC13">
        <v>32</v>
      </c>
      <c r="AF13">
        <v>75</v>
      </c>
      <c r="AG13">
        <v>55</v>
      </c>
      <c r="AH13">
        <v>63.948740000000001</v>
      </c>
      <c r="AI13">
        <v>75</v>
      </c>
      <c r="AJ13">
        <v>455</v>
      </c>
      <c r="AK13">
        <v>7280</v>
      </c>
      <c r="AL13">
        <v>17521.47</v>
      </c>
      <c r="AM13">
        <v>1680</v>
      </c>
      <c r="AN13">
        <v>19201.47</v>
      </c>
      <c r="AR13">
        <v>6931.2849999999999</v>
      </c>
      <c r="AS13">
        <v>926.44169999999997</v>
      </c>
      <c r="AT13">
        <v>428.21289999999999</v>
      </c>
      <c r="AU13" t="s">
        <v>477</v>
      </c>
      <c r="AV13">
        <v>0</v>
      </c>
      <c r="AW13">
        <v>0</v>
      </c>
      <c r="AX13">
        <v>0</v>
      </c>
      <c r="AY13">
        <v>1</v>
      </c>
      <c r="AZ13">
        <v>926.44169999999997</v>
      </c>
      <c r="BA13">
        <v>0</v>
      </c>
      <c r="BB13">
        <v>0</v>
      </c>
      <c r="BE13">
        <v>455</v>
      </c>
      <c r="BF13">
        <v>875.42909999999995</v>
      </c>
      <c r="BG13">
        <v>1033.0319999999999</v>
      </c>
      <c r="BH13">
        <v>378.8</v>
      </c>
      <c r="BI13">
        <v>603.59029999999996</v>
      </c>
      <c r="BJ13">
        <v>2705.5030000000002</v>
      </c>
      <c r="BK13">
        <v>90</v>
      </c>
      <c r="BL13">
        <v>1988.6110000000001</v>
      </c>
      <c r="BM13">
        <v>3192.75</v>
      </c>
      <c r="BN13">
        <v>0</v>
      </c>
      <c r="BO13">
        <v>0</v>
      </c>
      <c r="BP13">
        <v>0</v>
      </c>
      <c r="BQ13">
        <v>0</v>
      </c>
      <c r="BR13">
        <v>0</v>
      </c>
      <c r="BS13">
        <v>501</v>
      </c>
      <c r="BT13">
        <v>1793.165</v>
      </c>
      <c r="BU13">
        <v>2836</v>
      </c>
      <c r="BV13">
        <v>10160.67</v>
      </c>
      <c r="BW13">
        <v>0</v>
      </c>
      <c r="BX13">
        <v>0</v>
      </c>
      <c r="BY13">
        <v>8</v>
      </c>
      <c r="BZ13">
        <v>2100</v>
      </c>
      <c r="CA13">
        <v>1680</v>
      </c>
      <c r="CB13">
        <v>14053.84</v>
      </c>
      <c r="CC13">
        <v>1680</v>
      </c>
      <c r="CD13">
        <v>0</v>
      </c>
      <c r="CE13">
        <v>0</v>
      </c>
      <c r="CF13">
        <v>0</v>
      </c>
      <c r="CL13" t="s">
        <v>497</v>
      </c>
      <c r="CM13">
        <v>58.886969999999998</v>
      </c>
      <c r="CN13">
        <v>93.230999999999995</v>
      </c>
      <c r="CQ13" t="s">
        <v>497</v>
      </c>
      <c r="CR13">
        <v>58.886969999999998</v>
      </c>
      <c r="CS13">
        <v>78.236339999999998</v>
      </c>
      <c r="CU13">
        <v>0</v>
      </c>
      <c r="CV13">
        <v>0</v>
      </c>
      <c r="CW13" t="s">
        <v>478</v>
      </c>
      <c r="CX13">
        <v>0</v>
      </c>
      <c r="CY13">
        <v>0</v>
      </c>
      <c r="CZ13">
        <v>0</v>
      </c>
      <c r="DA13" t="s">
        <v>478</v>
      </c>
      <c r="DB13">
        <v>0</v>
      </c>
      <c r="DC13">
        <v>0</v>
      </c>
      <c r="DN13">
        <v>0</v>
      </c>
      <c r="DO13">
        <v>0</v>
      </c>
    </row>
    <row r="14" spans="1:134">
      <c r="B14" t="s">
        <v>481</v>
      </c>
      <c r="C14">
        <v>5</v>
      </c>
      <c r="D14" t="s">
        <v>473</v>
      </c>
      <c r="E14">
        <v>1</v>
      </c>
      <c r="F14" t="s">
        <v>476</v>
      </c>
      <c r="J14">
        <v>1</v>
      </c>
      <c r="AJ14">
        <v>2318</v>
      </c>
      <c r="AK14">
        <v>37088</v>
      </c>
      <c r="AL14">
        <v>56398.39</v>
      </c>
      <c r="AM14">
        <v>7770</v>
      </c>
      <c r="AN14">
        <v>64168.39</v>
      </c>
      <c r="AR14">
        <v>26578.26</v>
      </c>
      <c r="AS14">
        <v>2982.0450000000001</v>
      </c>
      <c r="AT14">
        <v>1641.9970000000001</v>
      </c>
    </row>
    <row r="15" spans="1:134">
      <c r="B15" t="s">
        <v>82</v>
      </c>
      <c r="C15">
        <v>1</v>
      </c>
      <c r="D15" t="s">
        <v>473</v>
      </c>
      <c r="E15">
        <v>1</v>
      </c>
      <c r="F15" t="s">
        <v>476</v>
      </c>
      <c r="J15">
        <v>1</v>
      </c>
      <c r="K15" t="s">
        <v>479</v>
      </c>
      <c r="L15" t="s">
        <v>480</v>
      </c>
      <c r="Y15">
        <v>92</v>
      </c>
      <c r="Z15">
        <v>79</v>
      </c>
      <c r="AA15">
        <v>90.41</v>
      </c>
      <c r="AB15">
        <v>79</v>
      </c>
      <c r="AC15">
        <v>32</v>
      </c>
      <c r="AD15" t="s">
        <v>508</v>
      </c>
      <c r="AE15">
        <v>1</v>
      </c>
      <c r="AF15">
        <v>75</v>
      </c>
      <c r="AG15">
        <v>55</v>
      </c>
      <c r="AH15">
        <v>63.948740000000001</v>
      </c>
      <c r="AI15">
        <v>75</v>
      </c>
      <c r="AJ15">
        <v>2318</v>
      </c>
      <c r="AK15">
        <v>37088</v>
      </c>
      <c r="AL15">
        <v>61747.12</v>
      </c>
      <c r="AM15">
        <v>20238.22</v>
      </c>
      <c r="AN15">
        <v>81985.34</v>
      </c>
      <c r="AO15">
        <v>0</v>
      </c>
      <c r="AP15">
        <v>6.8321110000000003</v>
      </c>
      <c r="AQ15">
        <v>0</v>
      </c>
      <c r="AR15">
        <v>40498.68</v>
      </c>
      <c r="AS15">
        <v>2981.1170000000002</v>
      </c>
      <c r="AT15">
        <v>1641.9970000000001</v>
      </c>
      <c r="AU15" t="s">
        <v>477</v>
      </c>
      <c r="AV15">
        <v>0</v>
      </c>
      <c r="AW15">
        <v>0</v>
      </c>
      <c r="AX15">
        <v>0</v>
      </c>
      <c r="BA15">
        <v>0</v>
      </c>
      <c r="BB15">
        <v>0</v>
      </c>
      <c r="BC15">
        <v>56801.23</v>
      </c>
      <c r="BD15">
        <v>4945.8879999999999</v>
      </c>
      <c r="BE15">
        <v>2318</v>
      </c>
      <c r="BF15">
        <v>4343.0510000000004</v>
      </c>
      <c r="BG15">
        <v>5262.7870000000003</v>
      </c>
      <c r="BH15">
        <v>1799.14</v>
      </c>
      <c r="BI15">
        <v>5382.0690000000004</v>
      </c>
      <c r="BJ15">
        <v>13395.32</v>
      </c>
      <c r="BK15">
        <v>223.26</v>
      </c>
      <c r="BL15">
        <v>9380.5990000000002</v>
      </c>
      <c r="BM15">
        <v>7920.1480000000001</v>
      </c>
      <c r="BN15">
        <v>0</v>
      </c>
      <c r="BO15">
        <v>0</v>
      </c>
      <c r="BP15">
        <v>0</v>
      </c>
      <c r="BQ15">
        <v>0</v>
      </c>
      <c r="BR15">
        <v>0</v>
      </c>
      <c r="BS15">
        <v>2502</v>
      </c>
      <c r="BT15">
        <v>8957.9439999999995</v>
      </c>
      <c r="BU15">
        <v>5141</v>
      </c>
      <c r="BV15">
        <v>18418.91</v>
      </c>
      <c r="BW15">
        <v>0</v>
      </c>
      <c r="BX15">
        <v>0</v>
      </c>
      <c r="BY15">
        <v>37</v>
      </c>
      <c r="BZ15">
        <v>9712.5</v>
      </c>
      <c r="CA15">
        <v>7770</v>
      </c>
      <c r="CB15">
        <v>37089.35</v>
      </c>
      <c r="CC15">
        <v>7770</v>
      </c>
      <c r="CD15">
        <v>0</v>
      </c>
      <c r="CE15">
        <v>0</v>
      </c>
      <c r="CF15">
        <v>0</v>
      </c>
      <c r="CG15">
        <v>0</v>
      </c>
      <c r="CH15">
        <v>0</v>
      </c>
      <c r="CI15">
        <v>0</v>
      </c>
      <c r="CJ15">
        <v>0</v>
      </c>
      <c r="CK15">
        <v>0</v>
      </c>
      <c r="CM15">
        <v>300</v>
      </c>
      <c r="CN15">
        <v>300</v>
      </c>
      <c r="CO15">
        <v>4945.8879999999999</v>
      </c>
      <c r="CP15">
        <v>12468.22</v>
      </c>
      <c r="CR15">
        <v>300</v>
      </c>
      <c r="CS15">
        <v>300</v>
      </c>
      <c r="CT15">
        <v>13920.43</v>
      </c>
      <c r="CU15">
        <v>0</v>
      </c>
      <c r="CV15">
        <v>0</v>
      </c>
      <c r="CX15">
        <v>0</v>
      </c>
      <c r="CY15">
        <v>0</v>
      </c>
      <c r="CZ15">
        <v>0</v>
      </c>
      <c r="DB15">
        <v>0</v>
      </c>
      <c r="DC15">
        <v>0</v>
      </c>
      <c r="DD15">
        <v>419.77800000000002</v>
      </c>
      <c r="DE15">
        <v>0</v>
      </c>
      <c r="DF15">
        <v>186.38550000000001</v>
      </c>
      <c r="DG15">
        <v>0</v>
      </c>
      <c r="DH15">
        <v>0</v>
      </c>
      <c r="DI15">
        <v>0</v>
      </c>
      <c r="DJ15">
        <v>0</v>
      </c>
      <c r="DK15">
        <v>0</v>
      </c>
      <c r="DL15">
        <v>0</v>
      </c>
      <c r="DM15">
        <v>0</v>
      </c>
      <c r="DR15">
        <v>0</v>
      </c>
      <c r="DS15">
        <v>0</v>
      </c>
      <c r="DT15">
        <v>57.664270000000002</v>
      </c>
      <c r="DU15">
        <v>56.797789999999999</v>
      </c>
      <c r="DV15">
        <v>95</v>
      </c>
      <c r="DW15">
        <v>24.308949999999999</v>
      </c>
      <c r="DX15">
        <v>76.509500000000003</v>
      </c>
      <c r="DY15">
        <v>65.705569999999994</v>
      </c>
      <c r="DZ15">
        <v>56.737209999999997</v>
      </c>
      <c r="EA15">
        <v>30.475660000000001</v>
      </c>
      <c r="EB15">
        <v>90</v>
      </c>
      <c r="EC15">
        <v>67.143709999999999</v>
      </c>
    </row>
    <row r="16" spans="1:134">
      <c r="B16" t="s">
        <v>475</v>
      </c>
      <c r="C16">
        <v>3</v>
      </c>
      <c r="D16" t="s">
        <v>473</v>
      </c>
      <c r="E16">
        <v>2</v>
      </c>
      <c r="F16" t="s">
        <v>482</v>
      </c>
      <c r="G16">
        <v>4</v>
      </c>
      <c r="H16" t="s">
        <v>509</v>
      </c>
      <c r="I16">
        <v>1</v>
      </c>
      <c r="J16">
        <v>1</v>
      </c>
      <c r="K16" t="s">
        <v>479</v>
      </c>
      <c r="L16" t="s">
        <v>480</v>
      </c>
      <c r="Y16">
        <v>92</v>
      </c>
      <c r="Z16">
        <v>79</v>
      </c>
      <c r="AA16">
        <v>90.41</v>
      </c>
      <c r="AB16">
        <v>79</v>
      </c>
      <c r="AC16">
        <v>32</v>
      </c>
      <c r="AF16">
        <v>75</v>
      </c>
      <c r="AG16">
        <v>54</v>
      </c>
      <c r="AH16">
        <v>63.660649999999997</v>
      </c>
      <c r="AI16">
        <v>75</v>
      </c>
      <c r="AJ16">
        <v>125</v>
      </c>
      <c r="AK16">
        <v>2000</v>
      </c>
      <c r="AL16">
        <v>6709.2719999999999</v>
      </c>
      <c r="AM16">
        <v>630</v>
      </c>
      <c r="AN16">
        <v>7339.2719999999999</v>
      </c>
      <c r="AR16">
        <v>3126.53</v>
      </c>
      <c r="AS16">
        <v>333.9479</v>
      </c>
      <c r="AT16">
        <v>193.15620000000001</v>
      </c>
      <c r="AU16" t="s">
        <v>477</v>
      </c>
      <c r="AV16">
        <v>0</v>
      </c>
      <c r="AW16">
        <v>0</v>
      </c>
      <c r="AX16">
        <v>0</v>
      </c>
      <c r="AY16">
        <v>1</v>
      </c>
      <c r="AZ16">
        <v>333.9479</v>
      </c>
      <c r="BA16">
        <v>0</v>
      </c>
      <c r="BB16">
        <v>0</v>
      </c>
      <c r="BE16">
        <v>125</v>
      </c>
      <c r="BF16">
        <v>234.20249999999999</v>
      </c>
      <c r="BG16">
        <v>283.8</v>
      </c>
      <c r="BH16">
        <v>100</v>
      </c>
      <c r="BI16">
        <v>313.92899999999997</v>
      </c>
      <c r="BJ16">
        <v>714.23</v>
      </c>
      <c r="BK16">
        <v>60</v>
      </c>
      <c r="BL16">
        <v>3360.136</v>
      </c>
      <c r="BM16">
        <v>2128.5</v>
      </c>
      <c r="BN16">
        <v>0</v>
      </c>
      <c r="BO16">
        <v>0</v>
      </c>
      <c r="BP16">
        <v>0</v>
      </c>
      <c r="BQ16">
        <v>0</v>
      </c>
      <c r="BR16">
        <v>0</v>
      </c>
      <c r="BS16">
        <v>150</v>
      </c>
      <c r="BT16">
        <v>537.41219999999998</v>
      </c>
      <c r="BU16">
        <v>412</v>
      </c>
      <c r="BV16">
        <v>1476.0920000000001</v>
      </c>
      <c r="BW16">
        <v>0</v>
      </c>
      <c r="BX16">
        <v>0</v>
      </c>
      <c r="BY16">
        <v>3</v>
      </c>
      <c r="BZ16">
        <v>787.49990000000003</v>
      </c>
      <c r="CA16">
        <v>630</v>
      </c>
      <c r="CB16">
        <v>2801.0039999999999</v>
      </c>
      <c r="CC16">
        <v>630</v>
      </c>
      <c r="CD16">
        <v>0</v>
      </c>
      <c r="CE16">
        <v>0</v>
      </c>
      <c r="CF16">
        <v>0</v>
      </c>
      <c r="CL16" t="s">
        <v>497</v>
      </c>
      <c r="CM16">
        <v>10.74499</v>
      </c>
      <c r="CN16">
        <v>25.049410000000002</v>
      </c>
      <c r="CQ16" t="s">
        <v>497</v>
      </c>
      <c r="CR16">
        <v>10.74499</v>
      </c>
      <c r="CS16">
        <v>33.209800000000001</v>
      </c>
      <c r="CU16">
        <v>0</v>
      </c>
      <c r="CV16">
        <v>0</v>
      </c>
      <c r="CW16" t="s">
        <v>478</v>
      </c>
      <c r="CX16">
        <v>0</v>
      </c>
      <c r="CY16">
        <v>0</v>
      </c>
      <c r="CZ16">
        <v>0</v>
      </c>
      <c r="DA16" t="s">
        <v>478</v>
      </c>
      <c r="DB16">
        <v>0</v>
      </c>
      <c r="DC16">
        <v>0</v>
      </c>
      <c r="DN16">
        <v>0</v>
      </c>
      <c r="DO16">
        <v>0</v>
      </c>
    </row>
    <row r="17" spans="2:133">
      <c r="B17" t="s">
        <v>475</v>
      </c>
      <c r="C17">
        <v>3</v>
      </c>
      <c r="D17" t="s">
        <v>473</v>
      </c>
      <c r="E17">
        <v>2</v>
      </c>
      <c r="F17" t="s">
        <v>482</v>
      </c>
      <c r="G17">
        <v>5</v>
      </c>
      <c r="H17" t="s">
        <v>510</v>
      </c>
      <c r="I17">
        <v>1</v>
      </c>
      <c r="J17">
        <v>1</v>
      </c>
      <c r="K17" t="s">
        <v>479</v>
      </c>
      <c r="L17" t="s">
        <v>483</v>
      </c>
      <c r="Y17">
        <v>92</v>
      </c>
      <c r="Z17">
        <v>79</v>
      </c>
      <c r="AA17">
        <v>91.522999999999996</v>
      </c>
      <c r="AB17">
        <v>79</v>
      </c>
      <c r="AC17">
        <v>32</v>
      </c>
      <c r="AF17">
        <v>75</v>
      </c>
      <c r="AG17">
        <v>54</v>
      </c>
      <c r="AH17">
        <v>63.660649999999997</v>
      </c>
      <c r="AI17">
        <v>75</v>
      </c>
      <c r="AJ17">
        <v>125</v>
      </c>
      <c r="AK17">
        <v>2000</v>
      </c>
      <c r="AL17">
        <v>3041.5070000000001</v>
      </c>
      <c r="AM17">
        <v>630</v>
      </c>
      <c r="AN17">
        <v>3671.5070000000001</v>
      </c>
      <c r="AR17">
        <v>283.8</v>
      </c>
      <c r="AS17">
        <v>151.38820000000001</v>
      </c>
      <c r="AT17">
        <v>17.533090000000001</v>
      </c>
      <c r="AU17" t="s">
        <v>477</v>
      </c>
      <c r="AV17">
        <v>0</v>
      </c>
      <c r="AW17">
        <v>0</v>
      </c>
      <c r="AX17">
        <v>0</v>
      </c>
      <c r="AY17">
        <v>1</v>
      </c>
      <c r="AZ17">
        <v>151.38820000000001</v>
      </c>
      <c r="BA17">
        <v>0</v>
      </c>
      <c r="BB17">
        <v>0</v>
      </c>
      <c r="BE17">
        <v>125</v>
      </c>
      <c r="BF17">
        <v>240.5025</v>
      </c>
      <c r="BG17">
        <v>283.8</v>
      </c>
      <c r="BH17">
        <v>0</v>
      </c>
      <c r="BI17">
        <v>0</v>
      </c>
      <c r="BJ17">
        <v>0</v>
      </c>
      <c r="BK17">
        <v>0</v>
      </c>
      <c r="BL17">
        <v>0</v>
      </c>
      <c r="BM17">
        <v>0</v>
      </c>
      <c r="BN17">
        <v>0</v>
      </c>
      <c r="BO17">
        <v>0</v>
      </c>
      <c r="BP17">
        <v>0</v>
      </c>
      <c r="BQ17">
        <v>0</v>
      </c>
      <c r="BR17">
        <v>0</v>
      </c>
      <c r="BS17">
        <v>150</v>
      </c>
      <c r="BT17">
        <v>537.41219999999998</v>
      </c>
      <c r="BU17">
        <v>412</v>
      </c>
      <c r="BV17">
        <v>1476.0920000000001</v>
      </c>
      <c r="BW17">
        <v>0</v>
      </c>
      <c r="BX17">
        <v>0</v>
      </c>
      <c r="BY17">
        <v>3</v>
      </c>
      <c r="BZ17">
        <v>787.49990000000003</v>
      </c>
      <c r="CA17">
        <v>630</v>
      </c>
      <c r="CB17">
        <v>2801.0039999999999</v>
      </c>
      <c r="CC17">
        <v>630</v>
      </c>
      <c r="CD17">
        <v>0</v>
      </c>
      <c r="CE17">
        <v>0</v>
      </c>
      <c r="CF17">
        <v>0</v>
      </c>
      <c r="CL17" t="s">
        <v>497</v>
      </c>
      <c r="CM17">
        <v>10.74499</v>
      </c>
      <c r="CN17">
        <v>11.35562</v>
      </c>
      <c r="CQ17" t="s">
        <v>497</v>
      </c>
      <c r="CR17">
        <v>10.74499</v>
      </c>
      <c r="CS17">
        <v>3.0145050000000002</v>
      </c>
      <c r="CU17">
        <v>0</v>
      </c>
      <c r="CV17">
        <v>0</v>
      </c>
      <c r="CW17" t="s">
        <v>478</v>
      </c>
      <c r="CX17">
        <v>0</v>
      </c>
      <c r="CY17">
        <v>0</v>
      </c>
      <c r="CZ17">
        <v>0</v>
      </c>
      <c r="DA17" t="s">
        <v>478</v>
      </c>
      <c r="DB17">
        <v>0</v>
      </c>
      <c r="DC17">
        <v>0</v>
      </c>
      <c r="DN17">
        <v>0</v>
      </c>
      <c r="DO17">
        <v>0</v>
      </c>
    </row>
    <row r="18" spans="2:133">
      <c r="B18" t="s">
        <v>475</v>
      </c>
      <c r="C18">
        <v>3</v>
      </c>
      <c r="D18" t="s">
        <v>473</v>
      </c>
      <c r="E18">
        <v>2</v>
      </c>
      <c r="F18" t="s">
        <v>482</v>
      </c>
      <c r="G18">
        <v>6</v>
      </c>
      <c r="H18" t="s">
        <v>511</v>
      </c>
      <c r="I18">
        <v>1</v>
      </c>
      <c r="J18">
        <v>1</v>
      </c>
      <c r="K18" t="s">
        <v>479</v>
      </c>
      <c r="L18" t="s">
        <v>483</v>
      </c>
      <c r="Y18">
        <v>92</v>
      </c>
      <c r="Z18">
        <v>79</v>
      </c>
      <c r="AA18">
        <v>91.522999999999996</v>
      </c>
      <c r="AB18">
        <v>79</v>
      </c>
      <c r="AC18">
        <v>32</v>
      </c>
      <c r="AF18">
        <v>75</v>
      </c>
      <c r="AG18">
        <v>54</v>
      </c>
      <c r="AH18">
        <v>63.660649999999997</v>
      </c>
      <c r="AI18">
        <v>75</v>
      </c>
      <c r="AJ18">
        <v>125</v>
      </c>
      <c r="AK18">
        <v>2000</v>
      </c>
      <c r="AL18">
        <v>3041.5070000000001</v>
      </c>
      <c r="AM18">
        <v>630</v>
      </c>
      <c r="AN18">
        <v>3671.5070000000001</v>
      </c>
      <c r="AR18">
        <v>283.8</v>
      </c>
      <c r="AS18">
        <v>151.38820000000001</v>
      </c>
      <c r="AT18">
        <v>17.533090000000001</v>
      </c>
      <c r="AU18" t="s">
        <v>477</v>
      </c>
      <c r="AV18">
        <v>0</v>
      </c>
      <c r="AW18">
        <v>0</v>
      </c>
      <c r="AX18">
        <v>0</v>
      </c>
      <c r="AY18">
        <v>1</v>
      </c>
      <c r="AZ18">
        <v>151.38820000000001</v>
      </c>
      <c r="BA18">
        <v>0</v>
      </c>
      <c r="BB18">
        <v>0</v>
      </c>
      <c r="BE18">
        <v>125</v>
      </c>
      <c r="BF18">
        <v>240.5025</v>
      </c>
      <c r="BG18">
        <v>283.8</v>
      </c>
      <c r="BH18">
        <v>0</v>
      </c>
      <c r="BI18">
        <v>0</v>
      </c>
      <c r="BJ18">
        <v>0</v>
      </c>
      <c r="BK18">
        <v>0</v>
      </c>
      <c r="BL18">
        <v>0</v>
      </c>
      <c r="BM18">
        <v>0</v>
      </c>
      <c r="BN18">
        <v>0</v>
      </c>
      <c r="BO18">
        <v>0</v>
      </c>
      <c r="BP18">
        <v>0</v>
      </c>
      <c r="BQ18">
        <v>0</v>
      </c>
      <c r="BR18">
        <v>0</v>
      </c>
      <c r="BS18">
        <v>150</v>
      </c>
      <c r="BT18">
        <v>537.41219999999998</v>
      </c>
      <c r="BU18">
        <v>412</v>
      </c>
      <c r="BV18">
        <v>1476.0920000000001</v>
      </c>
      <c r="BW18">
        <v>0</v>
      </c>
      <c r="BX18">
        <v>0</v>
      </c>
      <c r="BY18">
        <v>3</v>
      </c>
      <c r="BZ18">
        <v>787.49990000000003</v>
      </c>
      <c r="CA18">
        <v>630</v>
      </c>
      <c r="CB18">
        <v>2801.0039999999999</v>
      </c>
      <c r="CC18">
        <v>630</v>
      </c>
      <c r="CD18">
        <v>0</v>
      </c>
      <c r="CE18">
        <v>0</v>
      </c>
      <c r="CF18">
        <v>0</v>
      </c>
      <c r="CL18" t="s">
        <v>497</v>
      </c>
      <c r="CM18">
        <v>10.74499</v>
      </c>
      <c r="CN18">
        <v>11.35562</v>
      </c>
      <c r="CQ18" t="s">
        <v>497</v>
      </c>
      <c r="CR18">
        <v>10.74499</v>
      </c>
      <c r="CS18">
        <v>3.0145050000000002</v>
      </c>
      <c r="CU18">
        <v>0</v>
      </c>
      <c r="CV18">
        <v>0</v>
      </c>
      <c r="CW18" t="s">
        <v>478</v>
      </c>
      <c r="CX18">
        <v>0</v>
      </c>
      <c r="CY18">
        <v>0</v>
      </c>
      <c r="CZ18">
        <v>0</v>
      </c>
      <c r="DA18" t="s">
        <v>478</v>
      </c>
      <c r="DB18">
        <v>0</v>
      </c>
      <c r="DC18">
        <v>0</v>
      </c>
      <c r="DN18">
        <v>0</v>
      </c>
      <c r="DO18">
        <v>0</v>
      </c>
    </row>
    <row r="19" spans="2:133">
      <c r="B19" t="s">
        <v>475</v>
      </c>
      <c r="C19">
        <v>3</v>
      </c>
      <c r="D19" t="s">
        <v>473</v>
      </c>
      <c r="E19">
        <v>2</v>
      </c>
      <c r="F19" t="s">
        <v>482</v>
      </c>
      <c r="G19">
        <v>7</v>
      </c>
      <c r="H19" t="s">
        <v>512</v>
      </c>
      <c r="I19">
        <v>2</v>
      </c>
      <c r="J19">
        <v>1</v>
      </c>
      <c r="K19" t="s">
        <v>479</v>
      </c>
      <c r="L19" t="s">
        <v>483</v>
      </c>
      <c r="Y19">
        <v>92</v>
      </c>
      <c r="Z19">
        <v>79</v>
      </c>
      <c r="AA19">
        <v>91.522999999999996</v>
      </c>
      <c r="AB19">
        <v>79</v>
      </c>
      <c r="AC19">
        <v>32</v>
      </c>
      <c r="AF19">
        <v>75</v>
      </c>
      <c r="AG19">
        <v>54</v>
      </c>
      <c r="AH19">
        <v>63.660649999999997</v>
      </c>
      <c r="AI19">
        <v>75</v>
      </c>
      <c r="AJ19">
        <v>975</v>
      </c>
      <c r="AK19">
        <v>15600</v>
      </c>
      <c r="AL19">
        <v>16791.89</v>
      </c>
      <c r="AM19">
        <v>4200</v>
      </c>
      <c r="AN19">
        <v>20991.89</v>
      </c>
      <c r="AR19">
        <v>5131.1270000000004</v>
      </c>
      <c r="AS19">
        <v>835.80079999999998</v>
      </c>
      <c r="AT19">
        <v>316.99959999999999</v>
      </c>
      <c r="AU19" t="s">
        <v>477</v>
      </c>
      <c r="AV19">
        <v>0</v>
      </c>
      <c r="AW19">
        <v>0</v>
      </c>
      <c r="AX19">
        <v>0</v>
      </c>
      <c r="AY19">
        <v>1</v>
      </c>
      <c r="AZ19">
        <v>835.80079999999998</v>
      </c>
      <c r="BA19">
        <v>0</v>
      </c>
      <c r="BB19">
        <v>0</v>
      </c>
      <c r="BE19">
        <v>975</v>
      </c>
      <c r="BF19">
        <v>1875.9190000000001</v>
      </c>
      <c r="BG19">
        <v>2213.64</v>
      </c>
      <c r="BH19">
        <v>408.48</v>
      </c>
      <c r="BI19">
        <v>1282.337</v>
      </c>
      <c r="BJ19">
        <v>2917.4870000000001</v>
      </c>
      <c r="BK19">
        <v>0</v>
      </c>
      <c r="BL19">
        <v>0</v>
      </c>
      <c r="BM19">
        <v>0</v>
      </c>
      <c r="BN19">
        <v>0</v>
      </c>
      <c r="BO19">
        <v>0</v>
      </c>
      <c r="BP19">
        <v>0</v>
      </c>
      <c r="BQ19">
        <v>0</v>
      </c>
      <c r="BR19">
        <v>0</v>
      </c>
      <c r="BS19">
        <v>1170</v>
      </c>
      <c r="BT19">
        <v>4191.8149999999996</v>
      </c>
      <c r="BU19">
        <v>1170</v>
      </c>
      <c r="BV19">
        <v>4191.8149999999996</v>
      </c>
      <c r="BW19">
        <v>0</v>
      </c>
      <c r="BX19">
        <v>0</v>
      </c>
      <c r="BY19">
        <v>20</v>
      </c>
      <c r="BZ19">
        <v>5250</v>
      </c>
      <c r="CA19">
        <v>4200</v>
      </c>
      <c r="CB19">
        <v>13633.63</v>
      </c>
      <c r="CC19">
        <v>4200</v>
      </c>
      <c r="CD19">
        <v>0</v>
      </c>
      <c r="CE19">
        <v>0</v>
      </c>
      <c r="CF19">
        <v>0</v>
      </c>
      <c r="CL19" t="s">
        <v>497</v>
      </c>
      <c r="CM19">
        <v>83.810890000000001</v>
      </c>
      <c r="CN19">
        <v>62.693359999999998</v>
      </c>
      <c r="CQ19" t="s">
        <v>497</v>
      </c>
      <c r="CR19">
        <v>83.810890000000001</v>
      </c>
      <c r="CS19">
        <v>54.502490000000002</v>
      </c>
      <c r="CU19">
        <v>0</v>
      </c>
      <c r="CV19">
        <v>0</v>
      </c>
      <c r="CW19" t="s">
        <v>478</v>
      </c>
      <c r="CX19">
        <v>0</v>
      </c>
      <c r="CY19">
        <v>0</v>
      </c>
      <c r="CZ19">
        <v>0</v>
      </c>
      <c r="DA19" t="s">
        <v>478</v>
      </c>
      <c r="DB19">
        <v>0</v>
      </c>
      <c r="DC19">
        <v>0</v>
      </c>
      <c r="DN19">
        <v>0</v>
      </c>
      <c r="DO19">
        <v>0</v>
      </c>
    </row>
    <row r="20" spans="2:133">
      <c r="B20" t="s">
        <v>475</v>
      </c>
      <c r="C20">
        <v>3</v>
      </c>
      <c r="D20" t="s">
        <v>473</v>
      </c>
      <c r="E20">
        <v>2</v>
      </c>
      <c r="F20" t="s">
        <v>482</v>
      </c>
      <c r="G20">
        <v>8</v>
      </c>
      <c r="H20" t="s">
        <v>513</v>
      </c>
      <c r="I20">
        <v>2</v>
      </c>
      <c r="J20">
        <v>1</v>
      </c>
      <c r="K20" t="s">
        <v>479</v>
      </c>
      <c r="L20" t="s">
        <v>480</v>
      </c>
      <c r="Y20">
        <v>92</v>
      </c>
      <c r="Z20">
        <v>79</v>
      </c>
      <c r="AA20">
        <v>90.41</v>
      </c>
      <c r="AB20">
        <v>79</v>
      </c>
      <c r="AC20">
        <v>32</v>
      </c>
      <c r="AF20">
        <v>75</v>
      </c>
      <c r="AG20">
        <v>54</v>
      </c>
      <c r="AH20">
        <v>63.660649999999997</v>
      </c>
      <c r="AI20">
        <v>75</v>
      </c>
      <c r="AJ20">
        <v>395</v>
      </c>
      <c r="AK20">
        <v>6320</v>
      </c>
      <c r="AL20">
        <v>10592.06</v>
      </c>
      <c r="AM20">
        <v>1050</v>
      </c>
      <c r="AN20">
        <v>11642.06</v>
      </c>
      <c r="AR20">
        <v>5296.4650000000001</v>
      </c>
      <c r="AS20">
        <v>527.21029999999996</v>
      </c>
      <c r="AT20">
        <v>327.21409999999997</v>
      </c>
      <c r="AU20" t="s">
        <v>477</v>
      </c>
      <c r="AV20">
        <v>0</v>
      </c>
      <c r="AW20">
        <v>0</v>
      </c>
      <c r="AX20">
        <v>0</v>
      </c>
      <c r="AY20">
        <v>1</v>
      </c>
      <c r="AZ20">
        <v>527.21029999999996</v>
      </c>
      <c r="BA20">
        <v>0</v>
      </c>
      <c r="BB20">
        <v>0</v>
      </c>
      <c r="BE20">
        <v>395</v>
      </c>
      <c r="BF20">
        <v>740.07989999999995</v>
      </c>
      <c r="BG20">
        <v>896.80799999999999</v>
      </c>
      <c r="BH20">
        <v>616</v>
      </c>
      <c r="BI20">
        <v>2519.8029999999999</v>
      </c>
      <c r="BJ20">
        <v>4399.6570000000002</v>
      </c>
      <c r="BK20">
        <v>0</v>
      </c>
      <c r="BL20">
        <v>0</v>
      </c>
      <c r="BM20">
        <v>0</v>
      </c>
      <c r="BN20">
        <v>0</v>
      </c>
      <c r="BO20">
        <v>0</v>
      </c>
      <c r="BP20">
        <v>0</v>
      </c>
      <c r="BQ20">
        <v>0</v>
      </c>
      <c r="BR20">
        <v>0</v>
      </c>
      <c r="BS20">
        <v>514</v>
      </c>
      <c r="BT20">
        <v>1839.741</v>
      </c>
      <c r="BU20">
        <v>1167</v>
      </c>
      <c r="BV20">
        <v>4179.9390000000003</v>
      </c>
      <c r="BW20">
        <v>0</v>
      </c>
      <c r="BX20">
        <v>0</v>
      </c>
      <c r="BY20">
        <v>5</v>
      </c>
      <c r="BZ20">
        <v>1312.5</v>
      </c>
      <c r="CA20">
        <v>1050</v>
      </c>
      <c r="CB20">
        <v>7332.1809999999996</v>
      </c>
      <c r="CC20">
        <v>1050</v>
      </c>
      <c r="CD20">
        <v>0</v>
      </c>
      <c r="CE20">
        <v>0</v>
      </c>
      <c r="CF20">
        <v>0</v>
      </c>
      <c r="CL20" t="s">
        <v>497</v>
      </c>
      <c r="CM20">
        <v>33.954149999999998</v>
      </c>
      <c r="CN20">
        <v>39.546010000000003</v>
      </c>
      <c r="CQ20" t="s">
        <v>497</v>
      </c>
      <c r="CR20">
        <v>33.954149999999998</v>
      </c>
      <c r="CS20">
        <v>56.258699999999997</v>
      </c>
      <c r="CU20">
        <v>0</v>
      </c>
      <c r="CV20">
        <v>0</v>
      </c>
      <c r="CW20" t="s">
        <v>478</v>
      </c>
      <c r="CX20">
        <v>0</v>
      </c>
      <c r="CY20">
        <v>0</v>
      </c>
      <c r="CZ20">
        <v>0</v>
      </c>
      <c r="DA20" t="s">
        <v>478</v>
      </c>
      <c r="DB20">
        <v>0</v>
      </c>
      <c r="DC20">
        <v>0</v>
      </c>
      <c r="DN20">
        <v>0</v>
      </c>
      <c r="DO20">
        <v>0</v>
      </c>
    </row>
    <row r="21" spans="2:133">
      <c r="B21" t="s">
        <v>481</v>
      </c>
      <c r="C21">
        <v>5</v>
      </c>
      <c r="D21" t="s">
        <v>473</v>
      </c>
      <c r="E21">
        <v>2</v>
      </c>
      <c r="F21" t="s">
        <v>482</v>
      </c>
      <c r="J21">
        <v>1</v>
      </c>
      <c r="AJ21">
        <v>1745</v>
      </c>
      <c r="AK21">
        <v>27920</v>
      </c>
      <c r="AL21">
        <v>40176.230000000003</v>
      </c>
      <c r="AM21">
        <v>7140</v>
      </c>
      <c r="AN21">
        <v>47316.23</v>
      </c>
      <c r="AR21">
        <v>14121.72</v>
      </c>
      <c r="AS21">
        <v>1999.7349999999999</v>
      </c>
      <c r="AT21">
        <v>872.43600000000004</v>
      </c>
    </row>
    <row r="22" spans="2:133">
      <c r="B22" t="s">
        <v>82</v>
      </c>
      <c r="C22">
        <v>1</v>
      </c>
      <c r="D22" t="s">
        <v>473</v>
      </c>
      <c r="E22">
        <v>2</v>
      </c>
      <c r="F22" t="s">
        <v>482</v>
      </c>
      <c r="J22">
        <v>1</v>
      </c>
      <c r="K22" t="s">
        <v>479</v>
      </c>
      <c r="L22" t="s">
        <v>480</v>
      </c>
      <c r="Y22">
        <v>92</v>
      </c>
      <c r="Z22">
        <v>79</v>
      </c>
      <c r="AA22">
        <v>90.41</v>
      </c>
      <c r="AB22">
        <v>79</v>
      </c>
      <c r="AC22">
        <v>32</v>
      </c>
      <c r="AD22" t="s">
        <v>508</v>
      </c>
      <c r="AE22">
        <v>1</v>
      </c>
      <c r="AF22">
        <v>75</v>
      </c>
      <c r="AG22">
        <v>54</v>
      </c>
      <c r="AH22">
        <v>63.660649999999997</v>
      </c>
      <c r="AI22">
        <v>75</v>
      </c>
      <c r="AJ22">
        <v>1745</v>
      </c>
      <c r="AK22">
        <v>27920</v>
      </c>
      <c r="AL22">
        <v>43063.72</v>
      </c>
      <c r="AM22">
        <v>13508.29</v>
      </c>
      <c r="AN22">
        <v>56572.01</v>
      </c>
      <c r="AO22">
        <v>0</v>
      </c>
      <c r="AP22">
        <v>4.714334</v>
      </c>
      <c r="AQ22">
        <v>0</v>
      </c>
      <c r="AR22">
        <v>21081.93</v>
      </c>
      <c r="AS22">
        <v>1999.7349999999999</v>
      </c>
      <c r="AT22">
        <v>872.43600000000004</v>
      </c>
      <c r="AU22" t="s">
        <v>477</v>
      </c>
      <c r="AV22">
        <v>0</v>
      </c>
      <c r="AW22">
        <v>0</v>
      </c>
      <c r="AX22">
        <v>0</v>
      </c>
      <c r="BA22">
        <v>0</v>
      </c>
      <c r="BB22">
        <v>0</v>
      </c>
      <c r="BC22">
        <v>40590.769999999997</v>
      </c>
      <c r="BD22">
        <v>2472.944</v>
      </c>
      <c r="BE22">
        <v>1745</v>
      </c>
      <c r="BF22">
        <v>3269.4670000000001</v>
      </c>
      <c r="BG22">
        <v>3961.848</v>
      </c>
      <c r="BH22">
        <v>1124.48</v>
      </c>
      <c r="BI22">
        <v>4116.0690000000004</v>
      </c>
      <c r="BJ22">
        <v>8031.3729999999996</v>
      </c>
      <c r="BK22">
        <v>60</v>
      </c>
      <c r="BL22">
        <v>3360.136</v>
      </c>
      <c r="BM22">
        <v>2128.5</v>
      </c>
      <c r="BN22">
        <v>0</v>
      </c>
      <c r="BO22">
        <v>0</v>
      </c>
      <c r="BP22">
        <v>0</v>
      </c>
      <c r="BQ22">
        <v>0</v>
      </c>
      <c r="BR22">
        <v>0</v>
      </c>
      <c r="BS22">
        <v>2134</v>
      </c>
      <c r="BT22">
        <v>7643.7929999999997</v>
      </c>
      <c r="BU22">
        <v>3573</v>
      </c>
      <c r="BV22">
        <v>12800.03</v>
      </c>
      <c r="BW22">
        <v>0</v>
      </c>
      <c r="BX22">
        <v>0</v>
      </c>
      <c r="BY22">
        <v>34</v>
      </c>
      <c r="BZ22">
        <v>8925</v>
      </c>
      <c r="CA22">
        <v>7140</v>
      </c>
      <c r="CB22">
        <v>29368.82</v>
      </c>
      <c r="CC22">
        <v>7140</v>
      </c>
      <c r="CD22">
        <v>0</v>
      </c>
      <c r="CE22">
        <v>0</v>
      </c>
      <c r="CF22">
        <v>0</v>
      </c>
      <c r="CG22">
        <v>0</v>
      </c>
      <c r="CH22">
        <v>0</v>
      </c>
      <c r="CI22">
        <v>0</v>
      </c>
      <c r="CJ22">
        <v>0</v>
      </c>
      <c r="CK22">
        <v>0</v>
      </c>
      <c r="CM22">
        <v>150</v>
      </c>
      <c r="CN22">
        <v>150</v>
      </c>
      <c r="CO22">
        <v>2472.944</v>
      </c>
      <c r="CP22">
        <v>6368.2920000000004</v>
      </c>
      <c r="CR22">
        <v>150</v>
      </c>
      <c r="CS22">
        <v>150</v>
      </c>
      <c r="CT22">
        <v>6960.2129999999997</v>
      </c>
      <c r="CU22">
        <v>0</v>
      </c>
      <c r="CV22">
        <v>0</v>
      </c>
      <c r="CX22">
        <v>0</v>
      </c>
      <c r="CY22">
        <v>0</v>
      </c>
      <c r="CZ22">
        <v>0</v>
      </c>
      <c r="DB22">
        <v>0</v>
      </c>
      <c r="DC22">
        <v>0</v>
      </c>
      <c r="DD22">
        <v>281.5874</v>
      </c>
      <c r="DE22">
        <v>0</v>
      </c>
      <c r="DF22">
        <v>194.6909</v>
      </c>
      <c r="DG22">
        <v>0</v>
      </c>
      <c r="DH22">
        <v>0</v>
      </c>
      <c r="DI22">
        <v>0</v>
      </c>
      <c r="DJ22">
        <v>0</v>
      </c>
      <c r="DK22">
        <v>0</v>
      </c>
      <c r="DL22">
        <v>0</v>
      </c>
      <c r="DM22">
        <v>0</v>
      </c>
      <c r="DR22">
        <v>0</v>
      </c>
      <c r="DS22">
        <v>0</v>
      </c>
      <c r="DT22">
        <v>56.532040000000002</v>
      </c>
      <c r="DU22">
        <v>55.682369999999999</v>
      </c>
      <c r="DV22">
        <v>95</v>
      </c>
      <c r="DW22">
        <v>23.607309999999998</v>
      </c>
      <c r="DX22">
        <v>76.125150000000005</v>
      </c>
      <c r="DY22">
        <v>65.015559999999994</v>
      </c>
      <c r="DZ22">
        <v>55.439169999999997</v>
      </c>
      <c r="EA22">
        <v>29.945329999999998</v>
      </c>
      <c r="EB22">
        <v>90</v>
      </c>
      <c r="EC22">
        <v>67.606899999999996</v>
      </c>
    </row>
    <row r="23" spans="2:133">
      <c r="B23" t="s">
        <v>484</v>
      </c>
      <c r="C23">
        <v>2</v>
      </c>
      <c r="D23" t="s">
        <v>474</v>
      </c>
      <c r="E23">
        <v>1</v>
      </c>
      <c r="F23" t="s">
        <v>476</v>
      </c>
      <c r="G23">
        <v>0</v>
      </c>
      <c r="H23" t="s">
        <v>485</v>
      </c>
      <c r="I23">
        <v>0</v>
      </c>
      <c r="J23">
        <v>1</v>
      </c>
      <c r="K23" t="s">
        <v>479</v>
      </c>
      <c r="L23" t="s">
        <v>480</v>
      </c>
      <c r="Y23">
        <v>92</v>
      </c>
      <c r="Z23">
        <v>79</v>
      </c>
      <c r="AA23">
        <v>90.41</v>
      </c>
      <c r="AB23">
        <v>79</v>
      </c>
      <c r="AC23">
        <v>32</v>
      </c>
      <c r="AF23">
        <v>75</v>
      </c>
      <c r="AG23">
        <v>55</v>
      </c>
      <c r="AH23">
        <v>63.948740000000001</v>
      </c>
      <c r="AI23">
        <v>75</v>
      </c>
      <c r="AJ23">
        <v>2318</v>
      </c>
      <c r="AK23">
        <v>37088</v>
      </c>
      <c r="AL23">
        <v>56195.07</v>
      </c>
      <c r="AM23">
        <v>7770</v>
      </c>
      <c r="AN23">
        <v>63965.07</v>
      </c>
      <c r="AR23">
        <v>26578.26</v>
      </c>
      <c r="AS23">
        <v>2968.12</v>
      </c>
      <c r="AT23">
        <v>1641.9970000000001</v>
      </c>
      <c r="AU23" t="s">
        <v>477</v>
      </c>
      <c r="AV23">
        <v>0</v>
      </c>
      <c r="AW23">
        <v>0</v>
      </c>
      <c r="AX23">
        <v>0</v>
      </c>
      <c r="AY23">
        <v>0</v>
      </c>
      <c r="AZ23">
        <v>0</v>
      </c>
      <c r="BA23">
        <v>0</v>
      </c>
      <c r="BB23">
        <v>0</v>
      </c>
      <c r="BE23">
        <v>2318</v>
      </c>
      <c r="BF23">
        <v>4343.0510000000004</v>
      </c>
      <c r="BG23">
        <v>5262.7870000000003</v>
      </c>
      <c r="BH23">
        <v>1799.14</v>
      </c>
      <c r="BI23">
        <v>5382.0690000000004</v>
      </c>
      <c r="BJ23">
        <v>13395.32</v>
      </c>
      <c r="BK23">
        <v>223.26</v>
      </c>
      <c r="BL23">
        <v>9380.5990000000002</v>
      </c>
      <c r="BM23">
        <v>7920.1480000000001</v>
      </c>
      <c r="BN23">
        <v>0</v>
      </c>
      <c r="BO23">
        <v>0</v>
      </c>
      <c r="BP23">
        <v>0</v>
      </c>
      <c r="BQ23">
        <v>0</v>
      </c>
      <c r="BR23">
        <v>0</v>
      </c>
      <c r="BS23">
        <v>2502</v>
      </c>
      <c r="BT23">
        <v>8957.9439999999995</v>
      </c>
      <c r="BU23">
        <v>5141</v>
      </c>
      <c r="BV23">
        <v>18418.91</v>
      </c>
      <c r="BW23">
        <v>0</v>
      </c>
      <c r="BX23">
        <v>0</v>
      </c>
      <c r="BY23">
        <v>37</v>
      </c>
      <c r="BZ23">
        <v>9712.5</v>
      </c>
      <c r="CA23">
        <v>7770</v>
      </c>
      <c r="CB23">
        <v>37089.35</v>
      </c>
      <c r="CC23">
        <v>7770</v>
      </c>
      <c r="CD23">
        <v>0</v>
      </c>
      <c r="CE23">
        <v>0</v>
      </c>
      <c r="CF23">
        <v>0</v>
      </c>
      <c r="CM23">
        <v>300</v>
      </c>
      <c r="CN23">
        <v>300.0034</v>
      </c>
      <c r="CR23">
        <v>300</v>
      </c>
      <c r="CS23">
        <v>300</v>
      </c>
      <c r="CU23">
        <v>0</v>
      </c>
      <c r="CV23">
        <v>0</v>
      </c>
      <c r="CW23" t="s">
        <v>478</v>
      </c>
      <c r="CX23">
        <v>0</v>
      </c>
      <c r="CY23">
        <v>0</v>
      </c>
      <c r="CZ23">
        <v>0</v>
      </c>
      <c r="DA23" t="s">
        <v>478</v>
      </c>
      <c r="DB23">
        <v>0</v>
      </c>
      <c r="DC23">
        <v>0</v>
      </c>
      <c r="DN23">
        <v>0</v>
      </c>
      <c r="DO23">
        <v>0</v>
      </c>
    </row>
    <row r="24" spans="2:133">
      <c r="B24" t="s">
        <v>486</v>
      </c>
      <c r="C24">
        <v>6</v>
      </c>
      <c r="D24" t="s">
        <v>474</v>
      </c>
      <c r="E24">
        <v>1</v>
      </c>
      <c r="F24" t="s">
        <v>476</v>
      </c>
      <c r="J24">
        <v>1</v>
      </c>
      <c r="AJ24">
        <v>2318</v>
      </c>
      <c r="AK24">
        <v>37088</v>
      </c>
      <c r="AL24">
        <v>56195.07</v>
      </c>
      <c r="AM24">
        <v>7770</v>
      </c>
      <c r="AN24">
        <v>63965.07</v>
      </c>
      <c r="AR24">
        <v>26578.26</v>
      </c>
      <c r="AS24">
        <v>2968.12</v>
      </c>
      <c r="AT24">
        <v>1641.9970000000001</v>
      </c>
    </row>
    <row r="25" spans="2:133">
      <c r="B25" t="s">
        <v>82</v>
      </c>
      <c r="C25">
        <v>1</v>
      </c>
      <c r="D25" t="s">
        <v>474</v>
      </c>
      <c r="E25">
        <v>1</v>
      </c>
      <c r="F25" t="s">
        <v>476</v>
      </c>
      <c r="J25">
        <v>1</v>
      </c>
      <c r="K25" t="s">
        <v>479</v>
      </c>
      <c r="L25" t="s">
        <v>480</v>
      </c>
      <c r="Y25">
        <v>92</v>
      </c>
      <c r="Z25">
        <v>79</v>
      </c>
      <c r="AA25">
        <v>90.41</v>
      </c>
      <c r="AB25">
        <v>79</v>
      </c>
      <c r="AC25">
        <v>32</v>
      </c>
      <c r="AD25" t="s">
        <v>508</v>
      </c>
      <c r="AE25">
        <v>1</v>
      </c>
      <c r="AF25">
        <v>75</v>
      </c>
      <c r="AG25">
        <v>55</v>
      </c>
      <c r="AH25">
        <v>63.948740000000001</v>
      </c>
      <c r="AI25">
        <v>75</v>
      </c>
      <c r="AJ25">
        <v>2318</v>
      </c>
      <c r="AK25">
        <v>37088</v>
      </c>
      <c r="AL25">
        <v>61558.9</v>
      </c>
      <c r="AM25">
        <v>20238.22</v>
      </c>
      <c r="AN25">
        <v>81797.119999999995</v>
      </c>
      <c r="AO25">
        <v>0</v>
      </c>
      <c r="AP25">
        <v>6.8164259999999999</v>
      </c>
      <c r="AQ25">
        <v>0</v>
      </c>
      <c r="AR25">
        <v>40498.68</v>
      </c>
      <c r="AS25">
        <v>2968.087</v>
      </c>
      <c r="AT25">
        <v>1641.9970000000001</v>
      </c>
      <c r="AU25" t="s">
        <v>477</v>
      </c>
      <c r="AV25">
        <v>0</v>
      </c>
      <c r="AW25">
        <v>0</v>
      </c>
      <c r="AX25">
        <v>0</v>
      </c>
      <c r="BA25">
        <v>0</v>
      </c>
      <c r="BB25">
        <v>0</v>
      </c>
      <c r="BC25">
        <v>56613.01</v>
      </c>
      <c r="BD25">
        <v>4945.8879999999999</v>
      </c>
      <c r="BE25">
        <v>2318</v>
      </c>
      <c r="BF25">
        <v>4343.0510000000004</v>
      </c>
      <c r="BG25">
        <v>5262.7870000000003</v>
      </c>
      <c r="BH25">
        <v>1799.14</v>
      </c>
      <c r="BI25">
        <v>5382.0690000000004</v>
      </c>
      <c r="BJ25">
        <v>13395.32</v>
      </c>
      <c r="BK25">
        <v>223.26</v>
      </c>
      <c r="BL25">
        <v>9380.5990000000002</v>
      </c>
      <c r="BM25">
        <v>7920.1480000000001</v>
      </c>
      <c r="BN25">
        <v>0</v>
      </c>
      <c r="BO25">
        <v>0</v>
      </c>
      <c r="BP25">
        <v>0</v>
      </c>
      <c r="BQ25">
        <v>0</v>
      </c>
      <c r="BR25">
        <v>0</v>
      </c>
      <c r="BS25">
        <v>2502</v>
      </c>
      <c r="BT25">
        <v>8957.9439999999995</v>
      </c>
      <c r="BU25">
        <v>5141</v>
      </c>
      <c r="BV25">
        <v>18418.91</v>
      </c>
      <c r="BW25">
        <v>0</v>
      </c>
      <c r="BX25">
        <v>0</v>
      </c>
      <c r="BY25">
        <v>37</v>
      </c>
      <c r="BZ25">
        <v>9712.5</v>
      </c>
      <c r="CA25">
        <v>7770</v>
      </c>
      <c r="CB25">
        <v>37089.35</v>
      </c>
      <c r="CC25">
        <v>7770</v>
      </c>
      <c r="CD25">
        <v>0</v>
      </c>
      <c r="CE25">
        <v>0</v>
      </c>
      <c r="CF25">
        <v>0</v>
      </c>
      <c r="CG25">
        <v>0</v>
      </c>
      <c r="CH25">
        <v>0</v>
      </c>
      <c r="CI25">
        <v>0</v>
      </c>
      <c r="CJ25">
        <v>0</v>
      </c>
      <c r="CK25">
        <v>0</v>
      </c>
      <c r="CM25">
        <v>300</v>
      </c>
      <c r="CN25">
        <v>300</v>
      </c>
      <c r="CO25">
        <v>4945.8879999999999</v>
      </c>
      <c r="CP25">
        <v>12468.22</v>
      </c>
      <c r="CR25">
        <v>300</v>
      </c>
      <c r="CS25">
        <v>300</v>
      </c>
      <c r="CT25">
        <v>13920.42</v>
      </c>
      <c r="CU25">
        <v>0</v>
      </c>
      <c r="CV25">
        <v>0</v>
      </c>
      <c r="CX25">
        <v>0</v>
      </c>
      <c r="CY25">
        <v>0</v>
      </c>
      <c r="CZ25">
        <v>0</v>
      </c>
      <c r="DB25">
        <v>0</v>
      </c>
      <c r="DC25">
        <v>0</v>
      </c>
      <c r="DD25">
        <v>417.94319999999999</v>
      </c>
      <c r="DE25">
        <v>0</v>
      </c>
      <c r="DF25">
        <v>0</v>
      </c>
      <c r="DG25">
        <v>0</v>
      </c>
      <c r="DH25">
        <v>0</v>
      </c>
      <c r="DI25">
        <v>0</v>
      </c>
      <c r="DJ25">
        <v>0</v>
      </c>
      <c r="DK25">
        <v>0</v>
      </c>
      <c r="DL25">
        <v>0</v>
      </c>
      <c r="DM25">
        <v>0</v>
      </c>
      <c r="DR25">
        <v>0</v>
      </c>
      <c r="DS25">
        <v>0</v>
      </c>
      <c r="DT25">
        <v>57.645859999999999</v>
      </c>
      <c r="DU25">
        <v>56.782229999999998</v>
      </c>
      <c r="DV25">
        <v>95</v>
      </c>
      <c r="DW25">
        <v>24.29739</v>
      </c>
      <c r="DX25">
        <v>76.516130000000004</v>
      </c>
      <c r="DY25">
        <v>65.710750000000004</v>
      </c>
      <c r="DZ25">
        <v>56.73556</v>
      </c>
      <c r="EA25">
        <v>30.47748</v>
      </c>
      <c r="EB25">
        <v>90</v>
      </c>
      <c r="EC25">
        <v>67.143709999999999</v>
      </c>
    </row>
    <row r="26" spans="2:133">
      <c r="B26" t="s">
        <v>484</v>
      </c>
      <c r="C26">
        <v>2</v>
      </c>
      <c r="D26" t="s">
        <v>474</v>
      </c>
      <c r="E26">
        <v>2</v>
      </c>
      <c r="F26" t="s">
        <v>482</v>
      </c>
      <c r="G26">
        <v>0</v>
      </c>
      <c r="H26" t="s">
        <v>485</v>
      </c>
      <c r="I26">
        <v>0</v>
      </c>
      <c r="J26">
        <v>1</v>
      </c>
      <c r="K26" t="s">
        <v>479</v>
      </c>
      <c r="L26" t="s">
        <v>480</v>
      </c>
      <c r="Y26">
        <v>92</v>
      </c>
      <c r="Z26">
        <v>79</v>
      </c>
      <c r="AA26">
        <v>90.41</v>
      </c>
      <c r="AB26">
        <v>79</v>
      </c>
      <c r="AC26">
        <v>32</v>
      </c>
      <c r="AF26">
        <v>75</v>
      </c>
      <c r="AG26">
        <v>54</v>
      </c>
      <c r="AH26">
        <v>63.660649999999997</v>
      </c>
      <c r="AI26">
        <v>75</v>
      </c>
      <c r="AJ26">
        <v>1745</v>
      </c>
      <c r="AK26">
        <v>27920</v>
      </c>
      <c r="AL26">
        <v>40114.5</v>
      </c>
      <c r="AM26">
        <v>7140</v>
      </c>
      <c r="AN26">
        <v>47254.5</v>
      </c>
      <c r="AR26">
        <v>14121.72</v>
      </c>
      <c r="AS26">
        <v>1999.7349999999999</v>
      </c>
      <c r="AT26">
        <v>872.43600000000004</v>
      </c>
      <c r="AU26" t="s">
        <v>477</v>
      </c>
      <c r="AV26">
        <v>0</v>
      </c>
      <c r="AW26">
        <v>0</v>
      </c>
      <c r="AX26">
        <v>0</v>
      </c>
      <c r="AY26">
        <v>0</v>
      </c>
      <c r="AZ26">
        <v>0</v>
      </c>
      <c r="BA26">
        <v>0</v>
      </c>
      <c r="BB26">
        <v>0</v>
      </c>
      <c r="BE26">
        <v>1745</v>
      </c>
      <c r="BF26">
        <v>3269.4670000000001</v>
      </c>
      <c r="BG26">
        <v>3961.848</v>
      </c>
      <c r="BH26">
        <v>1124.48</v>
      </c>
      <c r="BI26">
        <v>4116.0690000000004</v>
      </c>
      <c r="BJ26">
        <v>8031.3729999999996</v>
      </c>
      <c r="BK26">
        <v>60</v>
      </c>
      <c r="BL26">
        <v>3360.136</v>
      </c>
      <c r="BM26">
        <v>2128.5</v>
      </c>
      <c r="BN26">
        <v>0</v>
      </c>
      <c r="BO26">
        <v>0</v>
      </c>
      <c r="BP26">
        <v>0</v>
      </c>
      <c r="BQ26">
        <v>0</v>
      </c>
      <c r="BR26">
        <v>0</v>
      </c>
      <c r="BS26">
        <v>2134</v>
      </c>
      <c r="BT26">
        <v>7643.7929999999997</v>
      </c>
      <c r="BU26">
        <v>3573</v>
      </c>
      <c r="BV26">
        <v>12800.03</v>
      </c>
      <c r="BW26">
        <v>0</v>
      </c>
      <c r="BX26">
        <v>0</v>
      </c>
      <c r="BY26">
        <v>34</v>
      </c>
      <c r="BZ26">
        <v>8925</v>
      </c>
      <c r="CA26">
        <v>7140</v>
      </c>
      <c r="CB26">
        <v>29368.82</v>
      </c>
      <c r="CC26">
        <v>7140</v>
      </c>
      <c r="CD26">
        <v>0</v>
      </c>
      <c r="CE26">
        <v>0</v>
      </c>
      <c r="CF26">
        <v>0</v>
      </c>
      <c r="CM26">
        <v>150</v>
      </c>
      <c r="CN26">
        <v>150</v>
      </c>
      <c r="CR26">
        <v>150</v>
      </c>
      <c r="CS26">
        <v>150</v>
      </c>
      <c r="CU26">
        <v>0</v>
      </c>
      <c r="CV26">
        <v>0</v>
      </c>
      <c r="CW26" t="s">
        <v>478</v>
      </c>
      <c r="CX26">
        <v>0</v>
      </c>
      <c r="CY26">
        <v>0</v>
      </c>
      <c r="CZ26">
        <v>0</v>
      </c>
      <c r="DA26" t="s">
        <v>478</v>
      </c>
      <c r="DB26">
        <v>0</v>
      </c>
      <c r="DC26">
        <v>0</v>
      </c>
      <c r="DN26">
        <v>0</v>
      </c>
      <c r="DO26">
        <v>0</v>
      </c>
    </row>
    <row r="27" spans="2:133">
      <c r="B27" t="s">
        <v>486</v>
      </c>
      <c r="C27">
        <v>6</v>
      </c>
      <c r="D27" t="s">
        <v>474</v>
      </c>
      <c r="E27">
        <v>2</v>
      </c>
      <c r="F27" t="s">
        <v>482</v>
      </c>
      <c r="J27">
        <v>1</v>
      </c>
      <c r="AJ27">
        <v>1745</v>
      </c>
      <c r="AK27">
        <v>27920</v>
      </c>
      <c r="AL27">
        <v>40114.5</v>
      </c>
      <c r="AM27">
        <v>7140</v>
      </c>
      <c r="AN27">
        <v>47254.5</v>
      </c>
      <c r="AR27">
        <v>14121.72</v>
      </c>
      <c r="AS27">
        <v>1999.7349999999999</v>
      </c>
      <c r="AT27">
        <v>872.43600000000004</v>
      </c>
    </row>
    <row r="28" spans="2:133">
      <c r="B28" t="s">
        <v>82</v>
      </c>
      <c r="C28">
        <v>1</v>
      </c>
      <c r="D28" t="s">
        <v>474</v>
      </c>
      <c r="E28">
        <v>2</v>
      </c>
      <c r="F28" t="s">
        <v>482</v>
      </c>
      <c r="J28">
        <v>1</v>
      </c>
      <c r="K28" t="s">
        <v>479</v>
      </c>
      <c r="L28" t="s">
        <v>480</v>
      </c>
      <c r="Y28">
        <v>92</v>
      </c>
      <c r="Z28">
        <v>79</v>
      </c>
      <c r="AA28">
        <v>90.41</v>
      </c>
      <c r="AB28">
        <v>79</v>
      </c>
      <c r="AC28">
        <v>32</v>
      </c>
      <c r="AD28" t="s">
        <v>508</v>
      </c>
      <c r="AE28">
        <v>1</v>
      </c>
      <c r="AF28">
        <v>75</v>
      </c>
      <c r="AG28">
        <v>54</v>
      </c>
      <c r="AH28">
        <v>63.660649999999997</v>
      </c>
      <c r="AI28">
        <v>75</v>
      </c>
      <c r="AJ28">
        <v>1745</v>
      </c>
      <c r="AK28">
        <v>27920</v>
      </c>
      <c r="AL28">
        <v>43063.72</v>
      </c>
      <c r="AM28">
        <v>13508.29</v>
      </c>
      <c r="AN28">
        <v>56572.01</v>
      </c>
      <c r="AO28">
        <v>0</v>
      </c>
      <c r="AP28">
        <v>4.714334</v>
      </c>
      <c r="AQ28">
        <v>0</v>
      </c>
      <c r="AR28">
        <v>21081.93</v>
      </c>
      <c r="AS28">
        <v>1999.7349999999999</v>
      </c>
      <c r="AT28">
        <v>872.43600000000004</v>
      </c>
      <c r="AU28" t="s">
        <v>477</v>
      </c>
      <c r="AV28">
        <v>0</v>
      </c>
      <c r="AW28">
        <v>0</v>
      </c>
      <c r="AX28">
        <v>0</v>
      </c>
      <c r="BA28">
        <v>0</v>
      </c>
      <c r="BB28">
        <v>0</v>
      </c>
      <c r="BC28">
        <v>40590.769999999997</v>
      </c>
      <c r="BD28">
        <v>2472.944</v>
      </c>
      <c r="BE28">
        <v>1745</v>
      </c>
      <c r="BF28">
        <v>3269.4670000000001</v>
      </c>
      <c r="BG28">
        <v>3961.848</v>
      </c>
      <c r="BH28">
        <v>1124.48</v>
      </c>
      <c r="BI28">
        <v>4116.0690000000004</v>
      </c>
      <c r="BJ28">
        <v>8031.3729999999996</v>
      </c>
      <c r="BK28">
        <v>60</v>
      </c>
      <c r="BL28">
        <v>3360.136</v>
      </c>
      <c r="BM28">
        <v>2128.5</v>
      </c>
      <c r="BN28">
        <v>0</v>
      </c>
      <c r="BO28">
        <v>0</v>
      </c>
      <c r="BP28">
        <v>0</v>
      </c>
      <c r="BQ28">
        <v>0</v>
      </c>
      <c r="BR28">
        <v>0</v>
      </c>
      <c r="BS28">
        <v>2134</v>
      </c>
      <c r="BT28">
        <v>7643.7929999999997</v>
      </c>
      <c r="BU28">
        <v>3573</v>
      </c>
      <c r="BV28">
        <v>12800.03</v>
      </c>
      <c r="BW28">
        <v>0</v>
      </c>
      <c r="BX28">
        <v>0</v>
      </c>
      <c r="BY28">
        <v>34</v>
      </c>
      <c r="BZ28">
        <v>8925</v>
      </c>
      <c r="CA28">
        <v>7140</v>
      </c>
      <c r="CB28">
        <v>29368.82</v>
      </c>
      <c r="CC28">
        <v>7140</v>
      </c>
      <c r="CD28">
        <v>0</v>
      </c>
      <c r="CE28">
        <v>0</v>
      </c>
      <c r="CF28">
        <v>0</v>
      </c>
      <c r="CG28">
        <v>0</v>
      </c>
      <c r="CH28">
        <v>0</v>
      </c>
      <c r="CI28">
        <v>0</v>
      </c>
      <c r="CJ28">
        <v>0</v>
      </c>
      <c r="CK28">
        <v>0</v>
      </c>
      <c r="CM28">
        <v>150</v>
      </c>
      <c r="CN28">
        <v>150</v>
      </c>
      <c r="CO28">
        <v>2472.944</v>
      </c>
      <c r="CP28">
        <v>6368.2920000000004</v>
      </c>
      <c r="CR28">
        <v>150</v>
      </c>
      <c r="CS28">
        <v>150</v>
      </c>
      <c r="CT28">
        <v>6960.2120000000004</v>
      </c>
      <c r="CU28">
        <v>0</v>
      </c>
      <c r="CV28">
        <v>0</v>
      </c>
      <c r="CX28">
        <v>0</v>
      </c>
      <c r="CY28">
        <v>0</v>
      </c>
      <c r="CZ28">
        <v>0</v>
      </c>
      <c r="DB28">
        <v>0</v>
      </c>
      <c r="DC28">
        <v>0</v>
      </c>
      <c r="DD28">
        <v>281.5874</v>
      </c>
      <c r="DE28">
        <v>0</v>
      </c>
      <c r="DF28">
        <v>194.6909</v>
      </c>
      <c r="DG28">
        <v>0</v>
      </c>
      <c r="DH28">
        <v>0</v>
      </c>
      <c r="DI28">
        <v>0</v>
      </c>
      <c r="DJ28">
        <v>0</v>
      </c>
      <c r="DK28">
        <v>0</v>
      </c>
      <c r="DL28">
        <v>0</v>
      </c>
      <c r="DM28">
        <v>0</v>
      </c>
      <c r="DR28">
        <v>0</v>
      </c>
      <c r="DS28">
        <v>0</v>
      </c>
      <c r="DT28">
        <v>56.532040000000002</v>
      </c>
      <c r="DU28">
        <v>55.682369999999999</v>
      </c>
      <c r="DV28">
        <v>95</v>
      </c>
      <c r="DW28">
        <v>23.607309999999998</v>
      </c>
      <c r="DX28">
        <v>76.125150000000005</v>
      </c>
      <c r="DY28">
        <v>65.015559999999994</v>
      </c>
      <c r="DZ28">
        <v>55.439169999999997</v>
      </c>
      <c r="EA28">
        <v>29.945329999999998</v>
      </c>
      <c r="EB28">
        <v>90</v>
      </c>
      <c r="EC28">
        <v>67.606909999999999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structions"/>
  <dimension ref="A1:I58"/>
  <sheetViews>
    <sheetView zoomScaleNormal="100" workbookViewId="0">
      <selection activeCell="L7" sqref="L7"/>
    </sheetView>
  </sheetViews>
  <sheetFormatPr defaultColWidth="11.5703125" defaultRowHeight="12.75"/>
  <cols>
    <col min="1" max="1" width="5.85546875" style="16" customWidth="1"/>
    <col min="2" max="2" width="56.5703125" style="16" customWidth="1"/>
    <col min="3" max="3" width="6.7109375" style="16" customWidth="1"/>
    <col min="4" max="4" width="8.42578125" style="16" customWidth="1"/>
    <col min="5" max="8" width="11.5703125" style="16" customWidth="1"/>
    <col min="9" max="9" width="20.5703125" style="16" customWidth="1"/>
    <col min="10" max="16384" width="11.5703125" style="16"/>
  </cols>
  <sheetData>
    <row r="1" spans="1:9">
      <c r="A1" s="358" t="s">
        <v>166</v>
      </c>
      <c r="B1" s="359"/>
      <c r="C1" s="359"/>
      <c r="D1" s="359"/>
      <c r="E1" s="359"/>
      <c r="F1" s="359"/>
      <c r="G1" s="359"/>
      <c r="H1" s="359"/>
      <c r="I1" s="264" t="s">
        <v>327</v>
      </c>
    </row>
    <row r="2" spans="1:9">
      <c r="A2" s="360"/>
      <c r="B2" s="361"/>
      <c r="C2" s="361"/>
      <c r="D2" s="361"/>
      <c r="E2" s="361"/>
      <c r="F2" s="361"/>
      <c r="G2" s="361"/>
      <c r="H2" s="361"/>
      <c r="I2" s="362"/>
    </row>
    <row r="3" spans="1:9" ht="45" customHeight="1">
      <c r="A3" s="366" t="s">
        <v>25</v>
      </c>
      <c r="B3" s="291"/>
      <c r="C3" s="291"/>
      <c r="D3" s="291"/>
      <c r="E3" s="291"/>
      <c r="F3" s="291"/>
      <c r="G3" s="291"/>
      <c r="H3" s="291"/>
      <c r="I3" s="292"/>
    </row>
    <row r="4" spans="1:9">
      <c r="A4" s="360"/>
      <c r="B4" s="361"/>
      <c r="C4" s="361"/>
      <c r="D4" s="361"/>
      <c r="E4" s="361"/>
      <c r="F4" s="361"/>
      <c r="G4" s="361"/>
      <c r="H4" s="361"/>
      <c r="I4" s="362"/>
    </row>
    <row r="5" spans="1:9" ht="45" customHeight="1">
      <c r="A5" s="365" t="s">
        <v>324</v>
      </c>
      <c r="B5" s="291"/>
      <c r="C5" s="291"/>
      <c r="D5" s="291"/>
      <c r="E5" s="291"/>
      <c r="F5" s="291"/>
      <c r="G5" s="291"/>
      <c r="H5" s="291"/>
      <c r="I5" s="292"/>
    </row>
    <row r="6" spans="1:9">
      <c r="A6" s="360"/>
      <c r="B6" s="361"/>
      <c r="C6" s="361"/>
      <c r="D6" s="361"/>
      <c r="E6" s="361"/>
      <c r="F6" s="361"/>
      <c r="G6" s="361"/>
      <c r="H6" s="361"/>
      <c r="I6" s="362"/>
    </row>
    <row r="7" spans="1:9" ht="28.5" customHeight="1">
      <c r="A7" s="304" t="s">
        <v>322</v>
      </c>
      <c r="B7" s="305"/>
      <c r="C7" s="305"/>
      <c r="D7" s="305"/>
      <c r="E7" s="305"/>
      <c r="F7" s="305"/>
      <c r="G7" s="305"/>
      <c r="H7" s="305"/>
      <c r="I7" s="306"/>
    </row>
    <row r="8" spans="1:9" ht="12.75" customHeight="1">
      <c r="A8" s="363"/>
      <c r="B8" s="363"/>
      <c r="C8" s="363"/>
      <c r="D8" s="363"/>
      <c r="E8" s="363"/>
      <c r="F8" s="363"/>
      <c r="G8" s="363"/>
      <c r="H8" s="363"/>
      <c r="I8" s="364"/>
    </row>
    <row r="9" spans="1:9" ht="12.75" customHeight="1">
      <c r="A9" s="310" t="s">
        <v>323</v>
      </c>
      <c r="B9" s="311"/>
      <c r="C9" s="311"/>
      <c r="D9" s="311"/>
      <c r="E9" s="311"/>
      <c r="F9" s="311"/>
      <c r="G9" s="311"/>
      <c r="H9" s="311"/>
      <c r="I9" s="312"/>
    </row>
    <row r="10" spans="1:9">
      <c r="A10" s="320"/>
      <c r="B10" s="320"/>
      <c r="C10" s="320"/>
      <c r="D10" s="320"/>
      <c r="E10" s="320"/>
      <c r="F10" s="320"/>
      <c r="G10" s="320"/>
      <c r="H10" s="320"/>
      <c r="I10" s="321"/>
    </row>
    <row r="11" spans="1:9" ht="54.75" customHeight="1">
      <c r="A11" s="307" t="s">
        <v>302</v>
      </c>
      <c r="B11" s="305"/>
      <c r="C11" s="305"/>
      <c r="D11" s="305"/>
      <c r="E11" s="305"/>
      <c r="F11" s="305"/>
      <c r="G11" s="305"/>
      <c r="H11" s="305"/>
      <c r="I11" s="306"/>
    </row>
    <row r="12" spans="1:9" ht="13.5" thickBot="1">
      <c r="A12" s="317"/>
      <c r="B12" s="318"/>
      <c r="C12" s="318"/>
      <c r="D12" s="318"/>
      <c r="E12" s="318"/>
      <c r="F12" s="318"/>
      <c r="G12" s="318"/>
      <c r="H12" s="318"/>
      <c r="I12" s="319"/>
    </row>
    <row r="13" spans="1:9">
      <c r="A13" s="313" t="s">
        <v>127</v>
      </c>
      <c r="B13" s="314"/>
      <c r="C13" s="300" t="s">
        <v>173</v>
      </c>
      <c r="D13" s="300"/>
      <c r="E13" s="300"/>
      <c r="F13" s="300"/>
      <c r="G13" s="300"/>
      <c r="H13" s="300"/>
      <c r="I13" s="301"/>
    </row>
    <row r="14" spans="1:9">
      <c r="A14" s="315" t="s">
        <v>128</v>
      </c>
      <c r="B14" s="316"/>
      <c r="C14" s="308" t="s">
        <v>174</v>
      </c>
      <c r="D14" s="308"/>
      <c r="E14" s="308"/>
      <c r="F14" s="308"/>
      <c r="G14" s="308"/>
      <c r="H14" s="308"/>
      <c r="I14" s="309"/>
    </row>
    <row r="15" spans="1:9" ht="26.25" customHeight="1">
      <c r="A15" s="315" t="s">
        <v>126</v>
      </c>
      <c r="B15" s="316"/>
      <c r="C15" s="287" t="s">
        <v>167</v>
      </c>
      <c r="D15" s="287"/>
      <c r="E15" s="287"/>
      <c r="F15" s="287"/>
      <c r="G15" s="287"/>
      <c r="H15" s="287"/>
      <c r="I15" s="288"/>
    </row>
    <row r="16" spans="1:9" ht="13.5" thickBot="1">
      <c r="A16" s="325" t="s">
        <v>133</v>
      </c>
      <c r="B16" s="326"/>
      <c r="C16" s="330" t="s">
        <v>175</v>
      </c>
      <c r="D16" s="330"/>
      <c r="E16" s="330"/>
      <c r="F16" s="330"/>
      <c r="G16" s="330"/>
      <c r="H16" s="330"/>
      <c r="I16" s="331"/>
    </row>
    <row r="17" spans="1:9" ht="13.5" thickBot="1">
      <c r="A17" s="327"/>
      <c r="B17" s="328"/>
      <c r="C17" s="328"/>
      <c r="D17" s="328"/>
      <c r="E17" s="328"/>
      <c r="F17" s="328"/>
      <c r="G17" s="328"/>
      <c r="H17" s="328"/>
      <c r="I17" s="329"/>
    </row>
    <row r="18" spans="1:9">
      <c r="A18" s="337" t="s">
        <v>83</v>
      </c>
      <c r="B18" s="335"/>
      <c r="C18" s="269" t="s">
        <v>124</v>
      </c>
      <c r="D18" s="269" t="s">
        <v>125</v>
      </c>
      <c r="E18" s="335" t="s">
        <v>172</v>
      </c>
      <c r="F18" s="335"/>
      <c r="G18" s="335"/>
      <c r="H18" s="335"/>
      <c r="I18" s="336"/>
    </row>
    <row r="19" spans="1:9" ht="51" customHeight="1">
      <c r="A19" s="243"/>
      <c r="B19" s="244" t="s">
        <v>84</v>
      </c>
      <c r="C19" s="244" t="s">
        <v>85</v>
      </c>
      <c r="D19" s="245" t="s">
        <v>168</v>
      </c>
      <c r="E19" s="302" t="s">
        <v>309</v>
      </c>
      <c r="F19" s="302"/>
      <c r="G19" s="302"/>
      <c r="H19" s="302"/>
      <c r="I19" s="303"/>
    </row>
    <row r="20" spans="1:9" ht="117.75" customHeight="1">
      <c r="A20" s="246"/>
      <c r="B20" s="247" t="s">
        <v>305</v>
      </c>
      <c r="C20" s="248" t="s">
        <v>65</v>
      </c>
      <c r="D20" s="249" t="s">
        <v>86</v>
      </c>
      <c r="E20" s="286" t="s">
        <v>325</v>
      </c>
      <c r="F20" s="287"/>
      <c r="G20" s="287"/>
      <c r="H20" s="287"/>
      <c r="I20" s="288"/>
    </row>
    <row r="21" spans="1:9" ht="129.75" customHeight="1">
      <c r="A21" s="246"/>
      <c r="B21" s="247" t="s">
        <v>87</v>
      </c>
      <c r="C21" s="247" t="s">
        <v>179</v>
      </c>
      <c r="D21" s="249" t="s">
        <v>169</v>
      </c>
      <c r="E21" s="286" t="s">
        <v>326</v>
      </c>
      <c r="F21" s="287"/>
      <c r="G21" s="287"/>
      <c r="H21" s="287"/>
      <c r="I21" s="288"/>
    </row>
    <row r="22" spans="1:9" ht="79.900000000000006" customHeight="1">
      <c r="A22" s="250"/>
      <c r="B22" s="247" t="s">
        <v>130</v>
      </c>
      <c r="C22" s="247" t="s">
        <v>89</v>
      </c>
      <c r="D22" s="249" t="s">
        <v>170</v>
      </c>
      <c r="E22" s="287" t="s">
        <v>197</v>
      </c>
      <c r="F22" s="287"/>
      <c r="G22" s="287"/>
      <c r="H22" s="287"/>
      <c r="I22" s="288"/>
    </row>
    <row r="23" spans="1:9" ht="79.900000000000006" customHeight="1">
      <c r="A23" s="250"/>
      <c r="B23" s="247" t="s">
        <v>131</v>
      </c>
      <c r="C23" s="247" t="s">
        <v>90</v>
      </c>
      <c r="D23" s="249" t="s">
        <v>171</v>
      </c>
      <c r="E23" s="287" t="s">
        <v>198</v>
      </c>
      <c r="F23" s="287"/>
      <c r="G23" s="287"/>
      <c r="H23" s="287"/>
      <c r="I23" s="288"/>
    </row>
    <row r="24" spans="1:9" ht="55.5" customHeight="1" thickBot="1">
      <c r="A24" s="251"/>
      <c r="B24" s="252" t="s">
        <v>304</v>
      </c>
      <c r="C24" s="252"/>
      <c r="D24" s="253" t="s">
        <v>88</v>
      </c>
      <c r="E24" s="338" t="s">
        <v>310</v>
      </c>
      <c r="F24" s="338"/>
      <c r="G24" s="338"/>
      <c r="H24" s="338"/>
      <c r="I24" s="339"/>
    </row>
    <row r="25" spans="1:9" ht="78.599999999999994" hidden="1" customHeight="1" thickBot="1">
      <c r="A25" s="14"/>
      <c r="B25" s="201" t="s">
        <v>144</v>
      </c>
      <c r="C25" s="202"/>
      <c r="D25" s="203"/>
      <c r="E25" s="293" t="s">
        <v>180</v>
      </c>
      <c r="F25" s="293"/>
      <c r="G25" s="293"/>
      <c r="H25" s="293"/>
      <c r="I25" s="294"/>
    </row>
    <row r="26" spans="1:9" ht="50.45" customHeight="1" thickBot="1">
      <c r="A26" s="265" t="s">
        <v>234</v>
      </c>
      <c r="B26" s="266"/>
      <c r="C26" s="267"/>
      <c r="D26" s="268"/>
      <c r="E26" s="340" t="s">
        <v>243</v>
      </c>
      <c r="F26" s="340"/>
      <c r="G26" s="340"/>
      <c r="H26" s="340"/>
      <c r="I26" s="341"/>
    </row>
    <row r="27" spans="1:9" ht="15.6" customHeight="1" thickBot="1">
      <c r="A27" s="332"/>
      <c r="B27" s="333"/>
      <c r="C27" s="333"/>
      <c r="D27" s="333"/>
      <c r="E27" s="333"/>
      <c r="F27" s="333"/>
      <c r="G27" s="333"/>
      <c r="H27" s="333"/>
      <c r="I27" s="334"/>
    </row>
    <row r="28" spans="1:9">
      <c r="A28" s="12" t="s">
        <v>91</v>
      </c>
      <c r="B28" s="10"/>
      <c r="C28" s="4"/>
      <c r="D28" s="200"/>
      <c r="E28" s="2"/>
      <c r="F28" s="2"/>
      <c r="G28" s="6"/>
      <c r="H28" s="2"/>
      <c r="I28" s="20"/>
    </row>
    <row r="29" spans="1:9" ht="100.15" customHeight="1" thickBot="1">
      <c r="A29" s="322" t="s">
        <v>328</v>
      </c>
      <c r="B29" s="323"/>
      <c r="C29" s="323"/>
      <c r="D29" s="323"/>
      <c r="E29" s="323"/>
      <c r="F29" s="323"/>
      <c r="G29" s="323"/>
      <c r="H29" s="323"/>
      <c r="I29" s="324"/>
    </row>
    <row r="30" spans="1:9" ht="28.5" customHeight="1" thickBot="1">
      <c r="A30" s="342" t="s">
        <v>235</v>
      </c>
      <c r="B30" s="343"/>
      <c r="C30" s="343"/>
      <c r="D30" s="343"/>
      <c r="E30" s="343"/>
      <c r="F30" s="343"/>
      <c r="G30" s="343"/>
      <c r="H30" s="343"/>
      <c r="I30" s="344"/>
    </row>
    <row r="31" spans="1:9" ht="45.6" customHeight="1">
      <c r="A31" s="254"/>
      <c r="B31" s="255" t="s">
        <v>134</v>
      </c>
      <c r="C31" s="256"/>
      <c r="D31" s="257"/>
      <c r="E31" s="345" t="s">
        <v>241</v>
      </c>
      <c r="F31" s="345"/>
      <c r="G31" s="345"/>
      <c r="H31" s="345"/>
      <c r="I31" s="346"/>
    </row>
    <row r="32" spans="1:9" ht="32.25" customHeight="1">
      <c r="A32" s="258"/>
      <c r="B32" s="247" t="s">
        <v>154</v>
      </c>
      <c r="C32" s="259"/>
      <c r="D32" s="249"/>
      <c r="E32" s="287" t="s">
        <v>181</v>
      </c>
      <c r="F32" s="287"/>
      <c r="G32" s="287"/>
      <c r="H32" s="287"/>
      <c r="I32" s="288"/>
    </row>
    <row r="33" spans="1:9" ht="43.5" customHeight="1">
      <c r="A33" s="246"/>
      <c r="B33" s="247" t="s">
        <v>140</v>
      </c>
      <c r="C33" s="259"/>
      <c r="D33" s="247"/>
      <c r="E33" s="287" t="s">
        <v>317</v>
      </c>
      <c r="F33" s="287"/>
      <c r="G33" s="287"/>
      <c r="H33" s="287"/>
      <c r="I33" s="288"/>
    </row>
    <row r="34" spans="1:9" ht="18.600000000000001" customHeight="1">
      <c r="A34" s="246"/>
      <c r="B34" s="247" t="s">
        <v>93</v>
      </c>
      <c r="C34" s="248" t="s">
        <v>78</v>
      </c>
      <c r="D34" s="247" t="str">
        <f>$D$19</f>
        <v>sf or sm</v>
      </c>
      <c r="E34" s="287" t="s">
        <v>182</v>
      </c>
      <c r="F34" s="287"/>
      <c r="G34" s="287"/>
      <c r="H34" s="287"/>
      <c r="I34" s="288"/>
    </row>
    <row r="35" spans="1:9" ht="56.25" customHeight="1">
      <c r="A35" s="246"/>
      <c r="B35" s="247" t="s">
        <v>135</v>
      </c>
      <c r="C35" s="248" t="s">
        <v>79</v>
      </c>
      <c r="D35" s="247" t="s">
        <v>86</v>
      </c>
      <c r="E35" s="287" t="s">
        <v>183</v>
      </c>
      <c r="F35" s="287"/>
      <c r="G35" s="287"/>
      <c r="H35" s="287"/>
      <c r="I35" s="288"/>
    </row>
    <row r="36" spans="1:9" ht="84.6" customHeight="1">
      <c r="A36" s="246"/>
      <c r="B36" s="247" t="s">
        <v>150</v>
      </c>
      <c r="C36" s="247" t="s">
        <v>22</v>
      </c>
      <c r="D36" s="247" t="str">
        <f>$D$21</f>
        <v>cfm or l/s</v>
      </c>
      <c r="E36" s="287" t="s">
        <v>186</v>
      </c>
      <c r="F36" s="287"/>
      <c r="G36" s="287"/>
      <c r="H36" s="287"/>
      <c r="I36" s="288"/>
    </row>
    <row r="37" spans="1:9" ht="125.45" customHeight="1">
      <c r="A37" s="250"/>
      <c r="B37" s="247" t="s">
        <v>184</v>
      </c>
      <c r="C37" s="247"/>
      <c r="D37" s="247"/>
      <c r="E37" s="287" t="s">
        <v>185</v>
      </c>
      <c r="F37" s="287"/>
      <c r="G37" s="287"/>
      <c r="H37" s="287"/>
      <c r="I37" s="288"/>
    </row>
    <row r="38" spans="1:9" ht="243.75" customHeight="1">
      <c r="A38" s="250"/>
      <c r="B38" s="247" t="s">
        <v>4</v>
      </c>
      <c r="C38" s="248" t="s">
        <v>74</v>
      </c>
      <c r="D38" s="247"/>
      <c r="E38" s="286" t="s">
        <v>329</v>
      </c>
      <c r="F38" s="287"/>
      <c r="G38" s="287"/>
      <c r="H38" s="287"/>
      <c r="I38" s="288"/>
    </row>
    <row r="39" spans="1:9">
      <c r="A39" s="355"/>
      <c r="B39" s="356"/>
      <c r="C39" s="356"/>
      <c r="D39" s="356"/>
      <c r="E39" s="356"/>
      <c r="F39" s="356"/>
      <c r="G39" s="356"/>
      <c r="H39" s="356"/>
      <c r="I39" s="357"/>
    </row>
    <row r="40" spans="1:9">
      <c r="A40" s="355" t="s">
        <v>129</v>
      </c>
      <c r="B40" s="356"/>
      <c r="C40" s="356"/>
      <c r="D40" s="356"/>
      <c r="E40" s="356"/>
      <c r="F40" s="356"/>
      <c r="G40" s="356"/>
      <c r="H40" s="356"/>
      <c r="I40" s="357"/>
    </row>
    <row r="41" spans="1:9" ht="259.5" customHeight="1">
      <c r="A41" s="246"/>
      <c r="B41" s="260" t="s">
        <v>153</v>
      </c>
      <c r="C41" s="247" t="s">
        <v>320</v>
      </c>
      <c r="D41" s="247" t="s">
        <v>88</v>
      </c>
      <c r="E41" s="286" t="s">
        <v>336</v>
      </c>
      <c r="F41" s="287"/>
      <c r="G41" s="287"/>
      <c r="H41" s="287"/>
      <c r="I41" s="288"/>
    </row>
    <row r="42" spans="1:9" ht="68.25" customHeight="1">
      <c r="A42" s="250"/>
      <c r="B42" s="260" t="s">
        <v>138</v>
      </c>
      <c r="C42" s="248" t="s">
        <v>75</v>
      </c>
      <c r="D42" s="249"/>
      <c r="E42" s="286" t="s">
        <v>330</v>
      </c>
      <c r="F42" s="287"/>
      <c r="G42" s="287"/>
      <c r="H42" s="287"/>
      <c r="I42" s="288"/>
    </row>
    <row r="43" spans="1:9" ht="146.25" customHeight="1" thickBot="1">
      <c r="A43" s="251"/>
      <c r="B43" s="261" t="s">
        <v>151</v>
      </c>
      <c r="C43" s="262" t="s">
        <v>55</v>
      </c>
      <c r="D43" s="253"/>
      <c r="E43" s="295" t="s">
        <v>303</v>
      </c>
      <c r="F43" s="295"/>
      <c r="G43" s="295"/>
      <c r="H43" s="295"/>
      <c r="I43" s="296"/>
    </row>
    <row r="44" spans="1:9" ht="26.45" hidden="1" customHeight="1">
      <c r="A44" s="12" t="s">
        <v>139</v>
      </c>
      <c r="B44" s="204"/>
      <c r="C44" s="10"/>
      <c r="D44" s="207"/>
      <c r="E44" s="291" t="s">
        <v>17</v>
      </c>
      <c r="F44" s="291"/>
      <c r="G44" s="291"/>
      <c r="H44" s="291"/>
      <c r="I44" s="292"/>
    </row>
    <row r="45" spans="1:9" ht="27.6" hidden="1" customHeight="1">
      <c r="A45" s="12"/>
      <c r="B45" s="204" t="s">
        <v>142</v>
      </c>
      <c r="C45" s="204" t="s">
        <v>143</v>
      </c>
      <c r="D45" s="205" t="str">
        <f>IF(C16="IP","Deg F",IF(C16="SI","Deg C",""))</f>
        <v/>
      </c>
      <c r="E45" s="291" t="s">
        <v>18</v>
      </c>
      <c r="F45" s="291"/>
      <c r="G45" s="291"/>
      <c r="H45" s="291"/>
      <c r="I45" s="292"/>
    </row>
    <row r="46" spans="1:9" ht="39.6" hidden="1" customHeight="1">
      <c r="A46" s="13"/>
      <c r="B46" s="204" t="s">
        <v>114</v>
      </c>
      <c r="C46" s="204" t="s">
        <v>115</v>
      </c>
      <c r="D46" s="205" t="str">
        <f>D$45</f>
        <v/>
      </c>
      <c r="E46" s="291" t="s">
        <v>19</v>
      </c>
      <c r="F46" s="291"/>
      <c r="G46" s="291"/>
      <c r="H46" s="291"/>
      <c r="I46" s="292"/>
    </row>
    <row r="47" spans="1:9" hidden="1">
      <c r="A47" s="13"/>
      <c r="B47" s="204" t="s">
        <v>116</v>
      </c>
      <c r="C47" s="204" t="s">
        <v>117</v>
      </c>
      <c r="D47" s="205" t="str">
        <f>D$45</f>
        <v/>
      </c>
      <c r="E47" s="291" t="s">
        <v>20</v>
      </c>
      <c r="F47" s="291"/>
      <c r="G47" s="291"/>
      <c r="H47" s="291"/>
      <c r="I47" s="292"/>
    </row>
    <row r="48" spans="1:9" hidden="1">
      <c r="A48" s="13"/>
      <c r="B48" s="204" t="s">
        <v>118</v>
      </c>
      <c r="C48" s="204" t="s">
        <v>119</v>
      </c>
      <c r="D48" s="205" t="str">
        <f>D$45</f>
        <v/>
      </c>
      <c r="E48" s="291" t="s">
        <v>21</v>
      </c>
      <c r="F48" s="291"/>
      <c r="G48" s="291"/>
      <c r="H48" s="291"/>
      <c r="I48" s="292"/>
    </row>
    <row r="49" spans="1:9" ht="13.5" hidden="1" thickBot="1">
      <c r="A49" s="21"/>
      <c r="B49" s="201" t="s">
        <v>120</v>
      </c>
      <c r="C49" s="201" t="s">
        <v>121</v>
      </c>
      <c r="D49" s="206" t="str">
        <f>D$45</f>
        <v/>
      </c>
      <c r="E49" s="293" t="s">
        <v>23</v>
      </c>
      <c r="F49" s="293"/>
      <c r="G49" s="293"/>
      <c r="H49" s="293"/>
      <c r="I49" s="294"/>
    </row>
    <row r="50" spans="1:9" ht="13.5" thickBot="1">
      <c r="A50" s="297"/>
      <c r="B50" s="298"/>
      <c r="C50" s="298"/>
      <c r="D50" s="298"/>
      <c r="E50" s="298"/>
      <c r="F50" s="298"/>
      <c r="G50" s="298"/>
      <c r="H50" s="298"/>
      <c r="I50" s="299"/>
    </row>
    <row r="51" spans="1:9">
      <c r="A51" s="297" t="s">
        <v>145</v>
      </c>
      <c r="B51" s="298"/>
      <c r="C51" s="298"/>
      <c r="D51" s="298"/>
      <c r="E51" s="298"/>
      <c r="F51" s="298"/>
      <c r="G51" s="298"/>
      <c r="H51" s="298"/>
      <c r="I51" s="299"/>
    </row>
    <row r="52" spans="1:9">
      <c r="A52" s="263"/>
      <c r="B52" s="247" t="s">
        <v>8</v>
      </c>
      <c r="C52" s="248" t="s">
        <v>58</v>
      </c>
      <c r="D52" s="249"/>
      <c r="E52" s="287" t="s">
        <v>16</v>
      </c>
      <c r="F52" s="287"/>
      <c r="G52" s="287"/>
      <c r="H52" s="287"/>
      <c r="I52" s="288"/>
    </row>
    <row r="53" spans="1:9" ht="25.5">
      <c r="A53" s="263"/>
      <c r="B53" s="247" t="s">
        <v>146</v>
      </c>
      <c r="C53" s="248" t="s">
        <v>50</v>
      </c>
      <c r="D53" s="249" t="str">
        <f>D36</f>
        <v>cfm or l/s</v>
      </c>
      <c r="E53" s="289" t="s">
        <v>24</v>
      </c>
      <c r="F53" s="289"/>
      <c r="G53" s="289"/>
      <c r="H53" s="289"/>
      <c r="I53" s="290"/>
    </row>
    <row r="54" spans="1:9" ht="25.5">
      <c r="A54" s="250"/>
      <c r="B54" s="247" t="s">
        <v>156</v>
      </c>
      <c r="C54" s="247" t="s">
        <v>111</v>
      </c>
      <c r="D54" s="249" t="str">
        <f>D22</f>
        <v>cfm/sf or l/s/sm</v>
      </c>
      <c r="E54" s="289" t="s">
        <v>0</v>
      </c>
      <c r="F54" s="289"/>
      <c r="G54" s="289"/>
      <c r="H54" s="289"/>
      <c r="I54" s="290"/>
    </row>
    <row r="55" spans="1:9" ht="13.5" thickBot="1">
      <c r="A55" s="251"/>
      <c r="B55" s="252" t="s">
        <v>147</v>
      </c>
      <c r="C55" s="252" t="s">
        <v>111</v>
      </c>
      <c r="D55" s="270" t="s">
        <v>88</v>
      </c>
      <c r="E55" s="353" t="s">
        <v>1</v>
      </c>
      <c r="F55" s="353"/>
      <c r="G55" s="353"/>
      <c r="H55" s="353"/>
      <c r="I55" s="354"/>
    </row>
    <row r="56" spans="1:9" ht="13.5" thickBot="1"/>
    <row r="57" spans="1:9">
      <c r="A57" s="347" t="s">
        <v>301</v>
      </c>
      <c r="B57" s="348"/>
      <c r="C57" s="348"/>
      <c r="D57" s="348"/>
      <c r="E57" s="348"/>
      <c r="F57" s="348"/>
      <c r="G57" s="348"/>
      <c r="H57" s="348"/>
      <c r="I57" s="349"/>
    </row>
    <row r="58" spans="1:9" ht="13.5" thickBot="1">
      <c r="A58" s="350"/>
      <c r="B58" s="351"/>
      <c r="C58" s="351"/>
      <c r="D58" s="351"/>
      <c r="E58" s="351"/>
      <c r="F58" s="351"/>
      <c r="G58" s="351"/>
      <c r="H58" s="351"/>
      <c r="I58" s="352"/>
    </row>
  </sheetData>
  <sheetProtection password="8C0F" sheet="1" objects="1" scenarios="1"/>
  <mergeCells count="60">
    <mergeCell ref="A1:H1"/>
    <mergeCell ref="A2:I2"/>
    <mergeCell ref="A4:I4"/>
    <mergeCell ref="A6:I6"/>
    <mergeCell ref="A8:I8"/>
    <mergeCell ref="A5:I5"/>
    <mergeCell ref="A3:I3"/>
    <mergeCell ref="A30:I30"/>
    <mergeCell ref="E31:I31"/>
    <mergeCell ref="A57:I58"/>
    <mergeCell ref="E54:I54"/>
    <mergeCell ref="E55:I55"/>
    <mergeCell ref="A40:I40"/>
    <mergeCell ref="A39:I39"/>
    <mergeCell ref="A50:I50"/>
    <mergeCell ref="E32:I32"/>
    <mergeCell ref="E33:I33"/>
    <mergeCell ref="E34:I34"/>
    <mergeCell ref="E46:I46"/>
    <mergeCell ref="E35:I35"/>
    <mergeCell ref="E41:I41"/>
    <mergeCell ref="E37:I37"/>
    <mergeCell ref="E36:I36"/>
    <mergeCell ref="E23:I23"/>
    <mergeCell ref="E21:I21"/>
    <mergeCell ref="A29:I29"/>
    <mergeCell ref="A15:B15"/>
    <mergeCell ref="A16:B16"/>
    <mergeCell ref="A17:I17"/>
    <mergeCell ref="C15:I15"/>
    <mergeCell ref="C16:I16"/>
    <mergeCell ref="A27:I27"/>
    <mergeCell ref="E22:I22"/>
    <mergeCell ref="E18:I18"/>
    <mergeCell ref="A18:B18"/>
    <mergeCell ref="E24:I24"/>
    <mergeCell ref="E25:I25"/>
    <mergeCell ref="E26:I26"/>
    <mergeCell ref="C13:I13"/>
    <mergeCell ref="E19:I19"/>
    <mergeCell ref="E20:I20"/>
    <mergeCell ref="A7:I7"/>
    <mergeCell ref="A11:I11"/>
    <mergeCell ref="C14:I14"/>
    <mergeCell ref="A9:I9"/>
    <mergeCell ref="A13:B13"/>
    <mergeCell ref="A14:B14"/>
    <mergeCell ref="A12:I12"/>
    <mergeCell ref="A10:I10"/>
    <mergeCell ref="E38:I38"/>
    <mergeCell ref="E52:I52"/>
    <mergeCell ref="E53:I53"/>
    <mergeCell ref="E47:I47"/>
    <mergeCell ref="E42:I42"/>
    <mergeCell ref="E49:I49"/>
    <mergeCell ref="E43:I43"/>
    <mergeCell ref="E44:I44"/>
    <mergeCell ref="E45:I45"/>
    <mergeCell ref="E48:I48"/>
    <mergeCell ref="A51:I51"/>
  </mergeCells>
  <phoneticPr fontId="3" type="noConversion"/>
  <conditionalFormatting sqref="C43">
    <cfRule type="expression" dxfId="78" priority="2" stopIfTrue="1">
      <formula>COUNTIF(J37:L37,"FT")+COUNTIF(J37:L37,"DFDD")+COUNTIF(J37:L37,"TF")&gt;0</formula>
    </cfRule>
  </conditionalFormatting>
  <conditionalFormatting sqref="A44">
    <cfRule type="expression" dxfId="77" priority="5" stopIfTrue="1">
      <formula>$I$25="No"</formula>
    </cfRule>
  </conditionalFormatting>
  <dataValidations disablePrompts="1" count="2">
    <dataValidation showInputMessage="1" showErrorMessage="1" sqref="C16"/>
    <dataValidation type="list" showInputMessage="1" showErrorMessage="1" sqref="I25">
      <formula1>$D$166:$D$167</formula1>
    </dataValidation>
  </dataValidations>
  <pageMargins left="0.75" right="0.75" top="1" bottom="1" header="0.5" footer="0.5"/>
  <pageSetup orientation="portrait" horizontalDpi="1200" verticalDpi="12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Areport1"/>
  <dimension ref="A1:AB618"/>
  <sheetViews>
    <sheetView tabSelected="1" zoomScale="85" zoomScaleNormal="85" workbookViewId="0">
      <pane xSplit="10" ySplit="4" topLeftCell="K5" activePane="bottomRight" state="frozen"/>
      <selection pane="topRight" activeCell="J1" sqref="J1"/>
      <selection pane="bottomLeft" activeCell="A5" sqref="A5"/>
      <selection pane="bottomRight" activeCell="L37" sqref="L37"/>
    </sheetView>
  </sheetViews>
  <sheetFormatPr defaultColWidth="8.85546875" defaultRowHeight="12.75"/>
  <cols>
    <col min="1" max="1" width="8.85546875" style="17" customWidth="1"/>
    <col min="2" max="2" width="51.7109375" style="18" customWidth="1"/>
    <col min="3" max="3" width="7" style="19" customWidth="1"/>
    <col min="4" max="4" width="6.85546875" style="19" customWidth="1"/>
    <col min="5" max="5" width="2.85546875" style="17" customWidth="1"/>
    <col min="6" max="6" width="11.140625" style="17" customWidth="1"/>
    <col min="7" max="7" width="3" style="17" customWidth="1"/>
    <col min="8" max="8" width="11.28515625" style="17" customWidth="1"/>
    <col min="9" max="9" width="3" style="17" customWidth="1"/>
    <col min="10" max="16" width="8.85546875" style="17" customWidth="1"/>
    <col min="17" max="17" width="20.140625" style="17" bestFit="1" customWidth="1"/>
    <col min="18" max="18" width="8.85546875" style="17" customWidth="1"/>
    <col min="19" max="19" width="9.5703125" style="17" customWidth="1"/>
    <col min="20" max="20" width="11.85546875" style="17" bestFit="1" customWidth="1"/>
    <col min="21" max="21" width="8.85546875" style="17" customWidth="1"/>
    <col min="22" max="22" width="8.85546875" style="17" hidden="1" customWidth="1"/>
    <col min="23" max="23" width="8.85546875" style="17" customWidth="1"/>
    <col min="24" max="24" width="11" style="17" hidden="1" customWidth="1"/>
    <col min="25" max="25" width="0" style="17" hidden="1" customWidth="1"/>
    <col min="26" max="16384" width="8.85546875" style="17"/>
  </cols>
  <sheetData>
    <row r="1" spans="1:25" s="33" customFormat="1">
      <c r="A1" s="28" t="s">
        <v>127</v>
      </c>
      <c r="B1" s="29"/>
      <c r="C1" s="367" t="s">
        <v>337</v>
      </c>
      <c r="D1" s="367"/>
      <c r="E1" s="367"/>
      <c r="F1" s="367"/>
      <c r="G1" s="367"/>
      <c r="H1" s="367"/>
      <c r="I1" s="367"/>
      <c r="J1" s="367"/>
      <c r="K1" s="279"/>
      <c r="L1" s="279"/>
      <c r="M1" s="279"/>
      <c r="N1" s="279"/>
      <c r="O1" s="279"/>
      <c r="P1" s="279"/>
      <c r="Q1" s="30"/>
      <c r="R1" s="31"/>
      <c r="S1" s="32"/>
    </row>
    <row r="2" spans="1:25" s="39" customFormat="1">
      <c r="A2" s="34" t="s">
        <v>128</v>
      </c>
      <c r="B2" s="35"/>
      <c r="C2" s="367" t="s">
        <v>482</v>
      </c>
      <c r="D2" s="367"/>
      <c r="E2" s="367"/>
      <c r="F2" s="367"/>
      <c r="G2" s="367"/>
      <c r="H2" s="367"/>
      <c r="I2" s="367"/>
      <c r="J2" s="367"/>
      <c r="K2" s="280"/>
      <c r="L2" s="280"/>
      <c r="M2" s="280"/>
      <c r="N2" s="280"/>
      <c r="O2" s="280"/>
      <c r="P2" s="280"/>
      <c r="Q2" s="17"/>
      <c r="R2" s="38"/>
      <c r="S2" s="37"/>
    </row>
    <row r="3" spans="1:25" s="39" customFormat="1">
      <c r="A3" s="34" t="s">
        <v>126</v>
      </c>
      <c r="B3" s="35"/>
      <c r="C3" s="367"/>
      <c r="D3" s="367"/>
      <c r="E3" s="367"/>
      <c r="F3" s="367"/>
      <c r="G3" s="367"/>
      <c r="H3" s="367"/>
      <c r="I3" s="367"/>
      <c r="J3" s="367"/>
      <c r="K3" s="280"/>
      <c r="L3" s="280"/>
      <c r="M3" s="280"/>
      <c r="N3" s="280"/>
      <c r="O3" s="280"/>
      <c r="P3" s="280"/>
      <c r="Q3" s="36"/>
      <c r="R3" s="38"/>
      <c r="S3" s="37"/>
    </row>
    <row r="4" spans="1:25" s="42" customFormat="1" ht="13.5" thickBot="1">
      <c r="A4" s="40" t="s">
        <v>133</v>
      </c>
      <c r="B4" s="41"/>
      <c r="C4" s="368" t="s">
        <v>152</v>
      </c>
      <c r="D4" s="368"/>
      <c r="E4" s="368"/>
      <c r="F4" s="368"/>
      <c r="G4" s="368"/>
      <c r="H4" s="368"/>
      <c r="I4" s="368"/>
      <c r="J4" s="368"/>
      <c r="K4" s="281"/>
      <c r="L4" s="281"/>
      <c r="M4" s="281"/>
      <c r="N4" s="281"/>
      <c r="O4" s="281"/>
      <c r="P4" s="281"/>
      <c r="R4" s="44"/>
      <c r="S4" s="43"/>
    </row>
    <row r="5" spans="1:25" s="33" customFormat="1">
      <c r="A5" s="45"/>
      <c r="B5" s="46"/>
      <c r="C5" s="47"/>
      <c r="D5" s="48"/>
      <c r="E5" s="49"/>
      <c r="F5" s="277" t="s">
        <v>318</v>
      </c>
      <c r="G5" s="49"/>
      <c r="H5" s="50"/>
      <c r="I5" s="51"/>
      <c r="J5" s="277" t="s">
        <v>319</v>
      </c>
      <c r="K5" s="277"/>
      <c r="L5" s="277"/>
      <c r="M5" s="277"/>
      <c r="N5" s="277"/>
      <c r="O5" s="277"/>
      <c r="P5" s="277"/>
      <c r="Q5" s="49"/>
      <c r="R5" s="53"/>
      <c r="S5" s="52"/>
    </row>
    <row r="6" spans="1:25" s="33" customFormat="1">
      <c r="A6" s="45" t="s">
        <v>83</v>
      </c>
      <c r="B6" s="54"/>
      <c r="C6" s="240" t="s">
        <v>124</v>
      </c>
      <c r="D6" s="240" t="s">
        <v>125</v>
      </c>
      <c r="F6" s="57" t="s">
        <v>82</v>
      </c>
      <c r="G6" s="55"/>
      <c r="H6" s="240" t="s">
        <v>307</v>
      </c>
      <c r="I6" s="55"/>
      <c r="J6" s="57" t="s">
        <v>82</v>
      </c>
      <c r="K6" s="282"/>
      <c r="L6" s="282"/>
      <c r="M6" s="282"/>
      <c r="N6" s="282"/>
      <c r="O6" s="282"/>
      <c r="P6" s="282"/>
      <c r="Q6" s="49"/>
      <c r="R6" s="58" t="s">
        <v>176</v>
      </c>
      <c r="S6" s="52"/>
      <c r="V6" s="33" t="s">
        <v>308</v>
      </c>
      <c r="X6" s="197">
        <v>0</v>
      </c>
      <c r="Y6" s="33" t="s">
        <v>233</v>
      </c>
    </row>
    <row r="7" spans="1:25" s="33" customFormat="1">
      <c r="A7" s="59"/>
      <c r="B7" s="60" t="s">
        <v>84</v>
      </c>
      <c r="C7" s="61" t="s">
        <v>85</v>
      </c>
      <c r="D7" s="61" t="str">
        <f>IF($C$4="IP","sf",IF($C$4="SI","sm",""))</f>
        <v>sf</v>
      </c>
      <c r="F7" s="195">
        <f>R18</f>
        <v>5150</v>
      </c>
      <c r="G7" s="49"/>
      <c r="H7" s="49"/>
      <c r="I7" s="51"/>
      <c r="Q7" s="49"/>
      <c r="R7" s="276" t="s">
        <v>200</v>
      </c>
      <c r="S7" s="52"/>
      <c r="V7" s="226">
        <f>SUM($Q$18:$Q$18)</f>
        <v>1525</v>
      </c>
      <c r="X7" s="196">
        <f>IF(ISTEXT(X6),0,VALUE(X6))</f>
        <v>0</v>
      </c>
      <c r="Y7" s="33" t="s">
        <v>233</v>
      </c>
    </row>
    <row r="8" spans="1:25" s="33" customFormat="1">
      <c r="A8" s="59"/>
      <c r="B8" s="60" t="s">
        <v>305</v>
      </c>
      <c r="C8" s="210" t="s">
        <v>65</v>
      </c>
      <c r="D8" s="61" t="s">
        <v>86</v>
      </c>
      <c r="F8" s="195">
        <f>R19</f>
        <v>948</v>
      </c>
      <c r="G8" s="239" t="s">
        <v>306</v>
      </c>
      <c r="H8" s="199">
        <v>1</v>
      </c>
      <c r="I8" s="51"/>
      <c r="J8" s="238">
        <f>IF(Ps=R19,Ps*Population_Diversity,Ps)</f>
        <v>948</v>
      </c>
      <c r="K8" s="238"/>
      <c r="L8" s="238"/>
      <c r="M8" s="238"/>
      <c r="N8" s="238"/>
      <c r="O8" s="238"/>
      <c r="P8" s="238"/>
      <c r="Q8" s="63"/>
      <c r="R8" s="64">
        <f>J8/MAX(F7,0.01)*IF($C$4="IP",1000,100)</f>
        <v>184.07766990291265</v>
      </c>
      <c r="S8" s="52" t="str">
        <f>IF($C$4="IP","P/1000 sf",IF($C$4="SI","P/100 sm",""))</f>
        <v>P/1000 sf</v>
      </c>
      <c r="V8" s="33">
        <f>SUM($Q$19:$Q$19)</f>
        <v>825</v>
      </c>
    </row>
    <row r="9" spans="1:25" s="33" customFormat="1">
      <c r="A9" s="59"/>
      <c r="B9" s="60" t="s">
        <v>87</v>
      </c>
      <c r="C9" s="61" t="s">
        <v>179</v>
      </c>
      <c r="D9" s="61" t="str">
        <f>IF($C$4="IP","cfm",IF($C$4="SI","l/s",""))</f>
        <v>cfm</v>
      </c>
      <c r="F9" s="195">
        <f>R20</f>
        <v>4408.9479000000001</v>
      </c>
      <c r="H9" s="5">
        <v>1</v>
      </c>
      <c r="I9" s="51"/>
      <c r="J9" s="238">
        <f>IF(Vpsd=R20,Vpsd*H9,Vpsd)</f>
        <v>4408.9479000000001</v>
      </c>
      <c r="K9" s="238"/>
      <c r="L9" s="238"/>
      <c r="M9" s="238"/>
      <c r="N9" s="238"/>
      <c r="O9" s="238"/>
      <c r="P9" s="238"/>
      <c r="Q9" s="65"/>
      <c r="R9" s="66">
        <f>J9/MAX(F7,0.01)</f>
        <v>0.85610638834951458</v>
      </c>
      <c r="S9" s="52" t="str">
        <f>IF($C$4="IP","cfm/sf",IF($C$4="SI","l/s/sm",""))</f>
        <v>cfm/sf</v>
      </c>
      <c r="V9" s="226">
        <f>SUM(Q20:Q20)</f>
        <v>825</v>
      </c>
    </row>
    <row r="10" spans="1:25" s="33" customFormat="1">
      <c r="A10" s="45"/>
      <c r="B10" s="60" t="s">
        <v>130</v>
      </c>
      <c r="C10" s="61" t="s">
        <v>89</v>
      </c>
      <c r="D10" s="61" t="str">
        <f>IF($C$4="IP","cfm/sf",IF($C$4="SI","l/s/sm",""))</f>
        <v>cfm/sf</v>
      </c>
      <c r="E10" s="55"/>
      <c r="F10" s="7">
        <f>SUMPRODUCT($Q$18:$Q$18,$Q$47:$Q$47)/MAX(SUM($Q$18:$Q$18),0.01)</f>
        <v>0.06</v>
      </c>
      <c r="G10" s="49"/>
      <c r="H10" s="6"/>
      <c r="I10" s="51"/>
      <c r="Q10" s="49"/>
      <c r="R10" s="66">
        <f>SUMPRODUCT(Q18:Q18,Q47:Q47)/MAX(SUM(Q18:Q18),0.01)</f>
        <v>0.06</v>
      </c>
      <c r="S10" s="52" t="str">
        <f>"ave "&amp;IF($C$4="IP","cfm/sf",IF($C$4="SI","l/s/sm",""))</f>
        <v>ave cfm/sf</v>
      </c>
      <c r="V10" s="33">
        <f>SUMPRODUCT($Q$18:$Q$18,$Q$47:$Q$47)/MAX(SUM($Q$18:$Q$18),0.01)</f>
        <v>0.06</v>
      </c>
    </row>
    <row r="11" spans="1:25" s="70" customFormat="1">
      <c r="A11" s="45"/>
      <c r="B11" s="60" t="s">
        <v>131</v>
      </c>
      <c r="C11" s="61" t="s">
        <v>90</v>
      </c>
      <c r="D11" s="61" t="str">
        <f>IF($C$4="IP","cfm/p",IF($C$4="SI","l/s/p",""))</f>
        <v>cfm/p</v>
      </c>
      <c r="E11" s="55"/>
      <c r="F11" s="11">
        <f>SUMPRODUCT($Q$19:$Q$19,$Q$48:$Q$48)/MAX(SUM($Q$19:$Q$19),0.01)</f>
        <v>0</v>
      </c>
      <c r="G11" s="49"/>
      <c r="H11" s="6"/>
      <c r="I11" s="51"/>
      <c r="J11" s="33"/>
      <c r="K11" s="33"/>
      <c r="L11" s="33"/>
      <c r="M11" s="33"/>
      <c r="N11" s="33"/>
      <c r="O11" s="33"/>
      <c r="P11" s="33"/>
      <c r="Q11" s="67"/>
      <c r="R11" s="68">
        <f>SUMPRODUCT(Q19:Q19,Q48:Q48)/MAX(SUM(Q19:Q19),0.01)</f>
        <v>0</v>
      </c>
      <c r="S11" s="69" t="str">
        <f>"ave "&amp;IF($C$4="IP","cfm/p",IF($C$4="SI","l/s/p",""))</f>
        <v>ave cfm/p</v>
      </c>
      <c r="V11" s="228">
        <f>SUMPRODUCT($Q$19:$Q$19,$Q$48:$Q$48)/MAX(SUM($Q$19:$Q$19),0.01)</f>
        <v>0</v>
      </c>
    </row>
    <row r="12" spans="1:25" s="70" customFormat="1">
      <c r="A12" s="45"/>
      <c r="B12" s="60" t="s">
        <v>304</v>
      </c>
      <c r="C12" s="61"/>
      <c r="D12" s="61"/>
      <c r="E12" s="55"/>
      <c r="F12" s="225">
        <v>0</v>
      </c>
      <c r="G12" s="49"/>
      <c r="H12" s="6"/>
      <c r="I12" s="51"/>
      <c r="J12" s="33"/>
      <c r="K12" s="33"/>
      <c r="L12" s="33"/>
      <c r="M12" s="33"/>
      <c r="N12" s="33"/>
      <c r="O12" s="33"/>
      <c r="P12" s="33"/>
      <c r="Q12" s="227"/>
      <c r="R12" s="224"/>
      <c r="S12" s="69"/>
    </row>
    <row r="13" spans="1:25" s="70" customFormat="1" hidden="1">
      <c r="A13" s="71"/>
      <c r="B13" s="72" t="s">
        <v>144</v>
      </c>
      <c r="C13" s="73"/>
      <c r="D13" s="73" t="s">
        <v>141</v>
      </c>
      <c r="E13" s="74"/>
      <c r="F13" s="74"/>
      <c r="G13" s="74"/>
      <c r="H13" s="73"/>
      <c r="I13" s="75"/>
      <c r="J13" s="5" t="s">
        <v>137</v>
      </c>
      <c r="K13" s="283"/>
      <c r="L13" s="283"/>
      <c r="M13" s="283"/>
      <c r="N13" s="283"/>
      <c r="O13" s="283"/>
      <c r="P13" s="283"/>
      <c r="Q13" s="76"/>
      <c r="R13" s="77"/>
      <c r="S13" s="78"/>
    </row>
    <row r="14" spans="1:25" s="33" customFormat="1">
      <c r="A14" s="59" t="s">
        <v>91</v>
      </c>
      <c r="B14" s="60"/>
      <c r="C14" s="61"/>
      <c r="D14" s="61"/>
      <c r="E14" s="55"/>
      <c r="F14" s="55"/>
      <c r="G14" s="55"/>
      <c r="H14" s="6"/>
      <c r="I14" s="62"/>
      <c r="J14" s="79"/>
      <c r="K14" s="79"/>
      <c r="L14" s="79"/>
      <c r="M14" s="79"/>
      <c r="N14" s="79"/>
      <c r="O14" s="79"/>
      <c r="P14" s="79"/>
      <c r="Q14" s="284"/>
      <c r="R14" s="53"/>
      <c r="S14" s="52"/>
    </row>
    <row r="15" spans="1:25" s="33" customFormat="1">
      <c r="A15" s="53"/>
      <c r="B15" s="80" t="s">
        <v>134</v>
      </c>
      <c r="C15" s="81" t="s">
        <v>92</v>
      </c>
      <c r="D15" s="61"/>
      <c r="E15" s="55"/>
      <c r="F15" s="82"/>
      <c r="G15" s="82"/>
      <c r="H15" s="56"/>
      <c r="I15" s="62"/>
      <c r="J15" s="79"/>
      <c r="K15" s="8" t="s">
        <v>509</v>
      </c>
      <c r="L15" s="8" t="s">
        <v>509</v>
      </c>
      <c r="M15" s="8" t="s">
        <v>509</v>
      </c>
      <c r="N15" s="8" t="s">
        <v>509</v>
      </c>
      <c r="O15" s="8" t="s">
        <v>509</v>
      </c>
      <c r="P15" s="8" t="s">
        <v>509</v>
      </c>
      <c r="Q15" s="8" t="s">
        <v>513</v>
      </c>
      <c r="R15" s="58" t="s">
        <v>178</v>
      </c>
      <c r="S15" s="52"/>
    </row>
    <row r="16" spans="1:25" s="33" customFormat="1">
      <c r="A16" s="53"/>
      <c r="B16" s="80" t="s">
        <v>154</v>
      </c>
      <c r="C16" s="81"/>
      <c r="D16" s="61"/>
      <c r="E16" s="55"/>
      <c r="F16" s="82"/>
      <c r="G16" s="82"/>
      <c r="H16" s="56"/>
      <c r="I16" s="62"/>
      <c r="J16" s="79"/>
      <c r="K16" s="8" t="s">
        <v>485</v>
      </c>
      <c r="L16" s="8" t="s">
        <v>485</v>
      </c>
      <c r="M16" s="8" t="s">
        <v>485</v>
      </c>
      <c r="N16" s="8" t="s">
        <v>485</v>
      </c>
      <c r="O16" s="8" t="s">
        <v>485</v>
      </c>
      <c r="P16" s="8" t="s">
        <v>485</v>
      </c>
      <c r="Q16" s="8" t="s">
        <v>485</v>
      </c>
      <c r="R16" s="53"/>
      <c r="S16" s="52"/>
      <c r="Y16"/>
    </row>
    <row r="17" spans="1:28" s="33" customFormat="1" ht="51">
      <c r="A17" s="59"/>
      <c r="B17" s="83" t="s">
        <v>5</v>
      </c>
      <c r="C17" s="81"/>
      <c r="D17" s="61" t="s">
        <v>6</v>
      </c>
      <c r="E17" s="55"/>
      <c r="F17" s="82"/>
      <c r="G17" s="82"/>
      <c r="H17" s="56"/>
      <c r="I17" s="62"/>
      <c r="J17" s="79"/>
      <c r="K17" s="22" t="s">
        <v>250</v>
      </c>
      <c r="L17" s="22" t="s">
        <v>70</v>
      </c>
      <c r="M17" s="22" t="s">
        <v>70</v>
      </c>
      <c r="N17" s="22" t="s">
        <v>70</v>
      </c>
      <c r="O17" s="22" t="s">
        <v>70</v>
      </c>
      <c r="P17" s="22" t="s">
        <v>70</v>
      </c>
      <c r="Q17" s="22" t="s">
        <v>27</v>
      </c>
      <c r="R17" s="53"/>
      <c r="S17" s="52"/>
      <c r="Y17"/>
      <c r="AB17"/>
    </row>
    <row r="18" spans="1:28" s="33" customFormat="1">
      <c r="A18" s="59"/>
      <c r="B18" s="60" t="s">
        <v>93</v>
      </c>
      <c r="C18" s="210" t="s">
        <v>78</v>
      </c>
      <c r="D18" s="61" t="str">
        <f>$D$7</f>
        <v>sf</v>
      </c>
      <c r="E18" s="62"/>
      <c r="F18" s="82"/>
      <c r="G18" s="82"/>
      <c r="H18" s="56"/>
      <c r="I18" s="62"/>
      <c r="J18" s="84"/>
      <c r="K18" s="194">
        <v>700</v>
      </c>
      <c r="L18" s="194">
        <v>700</v>
      </c>
      <c r="M18" s="194">
        <v>700</v>
      </c>
      <c r="N18" s="194">
        <v>700</v>
      </c>
      <c r="O18" s="194">
        <v>700</v>
      </c>
      <c r="P18" s="194">
        <v>125</v>
      </c>
      <c r="Q18" s="193">
        <f>SUM(N18:P18)</f>
        <v>1525</v>
      </c>
      <c r="R18" s="229">
        <f>SUM(K18:Q18)</f>
        <v>5150</v>
      </c>
      <c r="S18" s="285" t="s">
        <v>515</v>
      </c>
      <c r="Y18"/>
    </row>
    <row r="19" spans="1:28" s="33" customFormat="1">
      <c r="A19" s="59"/>
      <c r="B19" s="60" t="s">
        <v>135</v>
      </c>
      <c r="C19" s="210" t="s">
        <v>79</v>
      </c>
      <c r="D19" s="61" t="s">
        <v>86</v>
      </c>
      <c r="E19" s="61" t="s">
        <v>165</v>
      </c>
      <c r="F19" s="82"/>
      <c r="G19" s="82"/>
      <c r="H19" s="56"/>
      <c r="I19" s="62"/>
      <c r="J19" s="84"/>
      <c r="K19" s="1">
        <v>24</v>
      </c>
      <c r="L19" s="1">
        <v>24</v>
      </c>
      <c r="M19" s="1">
        <v>24</v>
      </c>
      <c r="N19" s="1">
        <v>24</v>
      </c>
      <c r="O19" s="1">
        <v>24</v>
      </c>
      <c r="P19" s="1">
        <v>3</v>
      </c>
      <c r="Q19" s="193">
        <f>SUM(O18:P18)</f>
        <v>825</v>
      </c>
      <c r="R19" s="229">
        <f>SUM(K19:Q19)</f>
        <v>948</v>
      </c>
      <c r="S19" s="52" t="s">
        <v>177</v>
      </c>
      <c r="Y19"/>
    </row>
    <row r="20" spans="1:28" s="33" customFormat="1">
      <c r="A20" s="59"/>
      <c r="B20" s="85" t="s">
        <v>150</v>
      </c>
      <c r="C20" s="61" t="s">
        <v>22</v>
      </c>
      <c r="D20" s="61" t="str">
        <f>$D$9</f>
        <v>cfm</v>
      </c>
      <c r="E20" s="62"/>
      <c r="F20" s="82"/>
      <c r="G20" s="82"/>
      <c r="H20" s="56"/>
      <c r="I20" s="62"/>
      <c r="J20" s="84"/>
      <c r="K20" s="193">
        <v>650</v>
      </c>
      <c r="L20" s="193">
        <v>650</v>
      </c>
      <c r="M20" s="193">
        <v>650</v>
      </c>
      <c r="N20" s="193">
        <v>650</v>
      </c>
      <c r="O20" s="193">
        <v>650</v>
      </c>
      <c r="P20" s="193">
        <v>333.9479</v>
      </c>
      <c r="Q20" s="193">
        <f>SUM(O18:P18)</f>
        <v>825</v>
      </c>
      <c r="R20" s="229">
        <f>SUM(K20:Q20)</f>
        <v>4408.9479000000001</v>
      </c>
      <c r="S20" s="52" t="str">
        <f>"total "&amp;$D$9</f>
        <v>total cfm</v>
      </c>
      <c r="Y20"/>
    </row>
    <row r="21" spans="1:28" s="33" customFormat="1">
      <c r="A21" s="45"/>
      <c r="B21" s="35" t="s">
        <v>184</v>
      </c>
      <c r="C21" s="86"/>
      <c r="D21" s="61" t="s">
        <v>7</v>
      </c>
      <c r="E21" s="82"/>
      <c r="F21" s="55"/>
      <c r="G21" s="55"/>
      <c r="H21" s="6"/>
      <c r="I21" s="62"/>
      <c r="J21" s="55"/>
      <c r="K21" s="223" t="s">
        <v>333</v>
      </c>
      <c r="L21" s="223" t="s">
        <v>333</v>
      </c>
      <c r="M21" s="223" t="s">
        <v>333</v>
      </c>
      <c r="N21" s="223" t="s">
        <v>333</v>
      </c>
      <c r="O21" s="223" t="s">
        <v>333</v>
      </c>
      <c r="P21" s="223" t="s">
        <v>333</v>
      </c>
      <c r="Q21" s="223" t="s">
        <v>333</v>
      </c>
      <c r="R21" s="53"/>
      <c r="S21" s="52"/>
      <c r="Y21"/>
    </row>
    <row r="22" spans="1:28" s="33" customFormat="1">
      <c r="A22" s="87"/>
      <c r="B22" s="88" t="s">
        <v>4</v>
      </c>
      <c r="C22" s="211" t="s">
        <v>74</v>
      </c>
      <c r="D22" s="73"/>
      <c r="E22" s="89" t="str">
        <f>IF(COUNTIF(Q21:Q21,"Induction Terminal Unit")+COUNTIF(Q21:Q21,"Transfer Fan")&gt;COUNT(Q22:Q22),"Insert Value(s) in shaded fields","")</f>
        <v/>
      </c>
      <c r="F22" s="74"/>
      <c r="G22" s="74"/>
      <c r="H22" s="90"/>
      <c r="I22" s="75"/>
      <c r="J22" s="74"/>
      <c r="K22" s="208">
        <v>0.5</v>
      </c>
      <c r="L22" s="208">
        <v>0.5</v>
      </c>
      <c r="M22" s="208">
        <v>0.5</v>
      </c>
      <c r="N22" s="208">
        <v>0.5</v>
      </c>
      <c r="O22" s="208">
        <v>0.5</v>
      </c>
      <c r="P22" s="208">
        <v>0.5</v>
      </c>
      <c r="Q22" s="208">
        <v>0.5</v>
      </c>
      <c r="R22" s="91">
        <f>AVERAGE(K22:Q22)</f>
        <v>0.5</v>
      </c>
      <c r="S22" s="92" t="s">
        <v>155</v>
      </c>
      <c r="Y22"/>
    </row>
    <row r="23" spans="1:28" s="33" customFormat="1">
      <c r="A23" s="59" t="s">
        <v>129</v>
      </c>
      <c r="B23" s="93"/>
      <c r="C23" s="86"/>
      <c r="D23" s="61"/>
      <c r="E23" s="94"/>
      <c r="F23" s="95"/>
      <c r="G23" s="95"/>
      <c r="H23" s="56"/>
      <c r="I23" s="62"/>
      <c r="J23" s="55"/>
      <c r="K23" s="9"/>
      <c r="L23" s="9"/>
      <c r="M23" s="9"/>
      <c r="N23" s="9"/>
      <c r="O23" s="9"/>
      <c r="P23" s="9"/>
      <c r="Q23" s="9"/>
      <c r="R23" s="53"/>
      <c r="S23" s="52"/>
      <c r="Y23"/>
    </row>
    <row r="24" spans="1:28" s="33" customFormat="1">
      <c r="A24" s="59"/>
      <c r="B24" s="85" t="s">
        <v>153</v>
      </c>
      <c r="C24" s="61" t="s">
        <v>320</v>
      </c>
      <c r="D24" s="61" t="s">
        <v>88</v>
      </c>
      <c r="E24" s="55"/>
      <c r="F24" s="55"/>
      <c r="G24" s="55"/>
      <c r="H24" s="61"/>
      <c r="I24" s="237" t="s">
        <v>321</v>
      </c>
      <c r="J24" s="5">
        <f>MIN(1,IF(T28=0,R24,T28))</f>
        <v>0.18711947129155235</v>
      </c>
      <c r="K24" s="5">
        <v>1</v>
      </c>
      <c r="L24" s="5">
        <v>1</v>
      </c>
      <c r="M24" s="5">
        <v>1</v>
      </c>
      <c r="N24" s="5">
        <v>1</v>
      </c>
      <c r="O24" s="5">
        <v>1</v>
      </c>
      <c r="P24" s="5">
        <v>1</v>
      </c>
      <c r="Q24" s="5">
        <v>1</v>
      </c>
      <c r="R24" s="97">
        <f>AVERAGE(K24:Q24)</f>
        <v>1</v>
      </c>
      <c r="S24" s="52" t="s">
        <v>155</v>
      </c>
      <c r="Y24"/>
    </row>
    <row r="25" spans="1:28" s="33" customFormat="1">
      <c r="A25" s="59"/>
      <c r="B25" s="60" t="s">
        <v>236</v>
      </c>
      <c r="C25" s="61"/>
      <c r="D25" s="61" t="s">
        <v>6</v>
      </c>
      <c r="E25" s="55"/>
      <c r="F25" s="55"/>
      <c r="G25" s="55"/>
      <c r="H25" s="61"/>
      <c r="I25" s="62"/>
      <c r="J25" t="s">
        <v>200</v>
      </c>
      <c r="K25" s="5" t="s">
        <v>212</v>
      </c>
      <c r="L25" s="5" t="s">
        <v>212</v>
      </c>
      <c r="M25" s="5" t="s">
        <v>212</v>
      </c>
      <c r="N25" s="5" t="s">
        <v>212</v>
      </c>
      <c r="O25" s="5" t="s">
        <v>212</v>
      </c>
      <c r="P25" s="5" t="s">
        <v>212</v>
      </c>
      <c r="Q25" s="5" t="s">
        <v>212</v>
      </c>
      <c r="R25" s="97" t="s">
        <v>200</v>
      </c>
      <c r="S25" s="52"/>
      <c r="Y25"/>
    </row>
    <row r="26" spans="1:28" s="33" customFormat="1">
      <c r="A26" s="45"/>
      <c r="B26" s="60" t="s">
        <v>138</v>
      </c>
      <c r="C26" s="210" t="s">
        <v>75</v>
      </c>
      <c r="D26" s="61"/>
      <c r="E26" s="55"/>
      <c r="F26" s="55"/>
      <c r="G26" s="55"/>
      <c r="H26" s="6"/>
      <c r="I26" s="62"/>
      <c r="J26" s="55"/>
      <c r="K26" s="7">
        <f t="shared" ref="K26:Q26" si="0">IF(ISTEXT(K25),VLOOKUP(K25,ez_table,2),1)</f>
        <v>0.8</v>
      </c>
      <c r="L26" s="7">
        <f t="shared" si="0"/>
        <v>0.8</v>
      </c>
      <c r="M26" s="7">
        <f t="shared" si="0"/>
        <v>0.8</v>
      </c>
      <c r="N26" s="7">
        <f t="shared" si="0"/>
        <v>0.8</v>
      </c>
      <c r="O26" s="7">
        <f t="shared" si="0"/>
        <v>0.8</v>
      </c>
      <c r="P26" s="7">
        <f t="shared" si="0"/>
        <v>0.8</v>
      </c>
      <c r="Q26" s="7">
        <f t="shared" si="0"/>
        <v>0.8</v>
      </c>
      <c r="R26" s="66">
        <f>AVERAGE(K26:Q26)</f>
        <v>0.79999999999999993</v>
      </c>
      <c r="S26" s="52" t="s">
        <v>155</v>
      </c>
      <c r="T26" s="33" t="s">
        <v>196</v>
      </c>
      <c r="Y26"/>
    </row>
    <row r="27" spans="1:28" s="33" customFormat="1">
      <c r="A27" s="87"/>
      <c r="B27" s="88" t="s">
        <v>151</v>
      </c>
      <c r="C27" s="211" t="s">
        <v>55</v>
      </c>
      <c r="D27" s="73"/>
      <c r="E27" s="89" t="str">
        <f>IF(COUNTIF(Q21:Q21,"Induction Terminal Unit")+COUNTIF(Q21:Q21,"Dual Fan Dual Duct")+COUNTIF(Q21:Q21,"Transfer Fan")&gt;COUNT(Q27:Q27),"Insert Value(s) in shaded fields","")</f>
        <v/>
      </c>
      <c r="F27" s="74"/>
      <c r="G27" s="74"/>
      <c r="H27" s="90"/>
      <c r="I27" s="75"/>
      <c r="J27" s="74"/>
      <c r="K27" s="208">
        <v>1</v>
      </c>
      <c r="L27" s="208">
        <v>1</v>
      </c>
      <c r="M27" s="208">
        <v>1</v>
      </c>
      <c r="N27" s="208">
        <v>1</v>
      </c>
      <c r="O27" s="208">
        <v>1</v>
      </c>
      <c r="P27" s="208">
        <v>1</v>
      </c>
      <c r="Q27" s="208">
        <v>1</v>
      </c>
      <c r="R27" s="91">
        <f>AVERAGE(K27:Q27)</f>
        <v>1</v>
      </c>
      <c r="S27" s="92" t="s">
        <v>155</v>
      </c>
      <c r="T27" s="98">
        <f>SUMPRODUCT(Q20:Q20,Q29:Q29,Q24:Q24)</f>
        <v>825</v>
      </c>
      <c r="U27" s="33" t="s">
        <v>194</v>
      </c>
      <c r="Y27"/>
    </row>
    <row r="28" spans="1:28" s="70" customFormat="1" hidden="1">
      <c r="A28" s="59" t="s">
        <v>139</v>
      </c>
      <c r="B28" s="85"/>
      <c r="C28" s="61"/>
      <c r="D28" s="61"/>
      <c r="E28" s="55"/>
      <c r="F28" s="55"/>
      <c r="G28" s="55"/>
      <c r="H28" s="61"/>
      <c r="I28" s="61"/>
      <c r="J28" s="61"/>
      <c r="K28" s="209">
        <f t="shared" ref="K28:Q28" si="1">IF(OR(K21="Induction Terminal Unit",K21="Transfer Fan"),K22,1)</f>
        <v>0.5</v>
      </c>
      <c r="L28" s="209">
        <f t="shared" si="1"/>
        <v>0.5</v>
      </c>
      <c r="M28" s="209">
        <f t="shared" si="1"/>
        <v>0.5</v>
      </c>
      <c r="N28" s="209">
        <f t="shared" si="1"/>
        <v>0.5</v>
      </c>
      <c r="O28" s="209">
        <f t="shared" si="1"/>
        <v>0.5</v>
      </c>
      <c r="P28" s="209">
        <f t="shared" si="1"/>
        <v>0.5</v>
      </c>
      <c r="Q28" s="209">
        <f t="shared" si="1"/>
        <v>0.5</v>
      </c>
      <c r="R28" s="221" t="s">
        <v>299</v>
      </c>
      <c r="S28" s="69"/>
      <c r="T28" s="99">
        <f>T27/MAX(J9,1)</f>
        <v>0.18711947129155235</v>
      </c>
      <c r="U28" s="70" t="s">
        <v>195</v>
      </c>
      <c r="Y28"/>
    </row>
    <row r="29" spans="1:28" s="70" customFormat="1" hidden="1">
      <c r="A29" s="59"/>
      <c r="B29" s="55" t="s">
        <v>142</v>
      </c>
      <c r="C29" s="55" t="s">
        <v>143</v>
      </c>
      <c r="D29" s="55" t="str">
        <f>IF(C4="IP","Deg F",IF(C4="SI","Deg C",""))</f>
        <v>Deg F</v>
      </c>
      <c r="E29" s="100" t="str">
        <f>IF($J$13=$D$157,IF(COUNT(J29)=0,"Insert Value",""),"")</f>
        <v/>
      </c>
      <c r="F29" s="55"/>
      <c r="G29" s="55"/>
      <c r="H29" s="61"/>
      <c r="I29" s="62"/>
      <c r="J29" s="3">
        <v>100</v>
      </c>
      <c r="K29" s="209">
        <f t="shared" ref="K29:Q29" si="2">IF(OR(K21="Induction Terminal Unit",K21="Transfer Fan",K21="Dual Fan Dual Duct"),K27,1)</f>
        <v>1</v>
      </c>
      <c r="L29" s="209">
        <f t="shared" si="2"/>
        <v>1</v>
      </c>
      <c r="M29" s="209">
        <f t="shared" si="2"/>
        <v>1</v>
      </c>
      <c r="N29" s="209">
        <f t="shared" si="2"/>
        <v>1</v>
      </c>
      <c r="O29" s="209">
        <f t="shared" si="2"/>
        <v>1</v>
      </c>
      <c r="P29" s="209">
        <f t="shared" si="2"/>
        <v>1</v>
      </c>
      <c r="Q29" s="209">
        <f t="shared" si="2"/>
        <v>1</v>
      </c>
      <c r="R29" s="222" t="s">
        <v>300</v>
      </c>
      <c r="S29" s="103"/>
      <c r="Y29"/>
    </row>
    <row r="30" spans="1:28" s="70" customFormat="1" hidden="1">
      <c r="A30" s="104"/>
      <c r="B30" s="55" t="s">
        <v>114</v>
      </c>
      <c r="C30" s="55" t="s">
        <v>115</v>
      </c>
      <c r="D30" s="55" t="str">
        <f>D$29</f>
        <v>Deg F</v>
      </c>
      <c r="E30" s="100" t="str">
        <f>IF($J$13=$D$157,IF(COUNT(J30)=0,"Insert Value",""),"")</f>
        <v/>
      </c>
      <c r="F30" s="105"/>
      <c r="G30" s="105"/>
      <c r="H30" s="106"/>
      <c r="I30" s="107"/>
      <c r="J30" s="3">
        <v>57</v>
      </c>
      <c r="K30" s="101"/>
      <c r="L30" s="101"/>
      <c r="M30" s="101"/>
      <c r="N30" s="101"/>
      <c r="O30" s="101"/>
      <c r="P30" s="101"/>
      <c r="Q30" s="101"/>
      <c r="R30" s="102"/>
      <c r="S30" s="103"/>
      <c r="Y30"/>
    </row>
    <row r="31" spans="1:28" s="70" customFormat="1" hidden="1">
      <c r="A31" s="104"/>
      <c r="B31" s="55" t="s">
        <v>116</v>
      </c>
      <c r="C31" s="55" t="s">
        <v>117</v>
      </c>
      <c r="D31" s="55" t="str">
        <f>D$29</f>
        <v>Deg F</v>
      </c>
      <c r="E31" s="100" t="str">
        <f>IF($J$13=$D$157,IF(COUNT(J31)=0,"Insert Value",""),"")</f>
        <v/>
      </c>
      <c r="F31" s="105"/>
      <c r="G31" s="105"/>
      <c r="H31" s="106"/>
      <c r="I31" s="107"/>
      <c r="J31" s="3">
        <v>72</v>
      </c>
      <c r="K31" s="101"/>
      <c r="L31" s="101"/>
      <c r="M31" s="101"/>
      <c r="N31" s="101"/>
      <c r="O31" s="101"/>
      <c r="P31" s="101"/>
      <c r="Q31" s="101"/>
      <c r="R31" s="108"/>
      <c r="S31" s="103"/>
      <c r="Y31"/>
    </row>
    <row r="32" spans="1:28" s="70" customFormat="1" hidden="1">
      <c r="A32" s="104"/>
      <c r="B32" s="55" t="s">
        <v>118</v>
      </c>
      <c r="C32" s="55" t="s">
        <v>119</v>
      </c>
      <c r="D32" s="55" t="str">
        <f>D$29</f>
        <v>Deg F</v>
      </c>
      <c r="E32" s="100" t="str">
        <f>IF($J$13=$D$157,IF(COUNT(J32)=0,"Insert Value",""),"")</f>
        <v/>
      </c>
      <c r="F32" s="105"/>
      <c r="G32" s="105"/>
      <c r="H32" s="106"/>
      <c r="I32" s="107"/>
      <c r="J32" s="3">
        <v>2</v>
      </c>
      <c r="K32" s="101"/>
      <c r="L32" s="101"/>
      <c r="M32" s="101"/>
      <c r="N32" s="101"/>
      <c r="O32" s="101"/>
      <c r="P32" s="101"/>
      <c r="Q32" s="101"/>
      <c r="R32" s="108"/>
      <c r="S32" s="103"/>
    </row>
    <row r="33" spans="1:19" s="70" customFormat="1" hidden="1">
      <c r="A33" s="109"/>
      <c r="B33" s="74" t="s">
        <v>120</v>
      </c>
      <c r="C33" s="74" t="s">
        <v>121</v>
      </c>
      <c r="D33" s="74" t="str">
        <f>D$29</f>
        <v>Deg F</v>
      </c>
      <c r="E33" s="110" t="str">
        <f>IF($J$13=$D$157,IF(COUNT(J33)=0,"Insert Value",""),"")</f>
        <v/>
      </c>
      <c r="F33" s="111"/>
      <c r="G33" s="111"/>
      <c r="H33" s="112"/>
      <c r="I33" s="113"/>
      <c r="J33" s="3">
        <v>0</v>
      </c>
      <c r="K33" s="114"/>
      <c r="L33" s="114"/>
      <c r="M33" s="114"/>
      <c r="N33" s="114"/>
      <c r="O33" s="114"/>
      <c r="P33" s="114"/>
      <c r="Q33" s="114"/>
      <c r="R33" s="115"/>
      <c r="S33" s="78"/>
    </row>
    <row r="34" spans="1:19" s="70" customFormat="1">
      <c r="A34" s="59" t="s">
        <v>145</v>
      </c>
      <c r="B34" s="85"/>
      <c r="C34" s="61"/>
      <c r="D34" s="61"/>
      <c r="E34" s="62"/>
      <c r="F34" s="82"/>
      <c r="G34" s="82"/>
      <c r="H34" s="56"/>
      <c r="I34" s="62"/>
      <c r="J34" s="84"/>
      <c r="K34" s="55"/>
      <c r="L34" s="55"/>
      <c r="M34" s="55"/>
      <c r="N34" s="55"/>
      <c r="O34" s="55"/>
      <c r="P34" s="55"/>
      <c r="Q34" s="55"/>
      <c r="R34" s="108"/>
      <c r="S34" s="103"/>
    </row>
    <row r="35" spans="1:19" s="33" customFormat="1">
      <c r="A35" s="116"/>
      <c r="B35" s="60" t="s">
        <v>8</v>
      </c>
      <c r="C35" s="212" t="str">
        <f>C60</f>
        <v>Ev</v>
      </c>
      <c r="D35" s="60"/>
      <c r="E35" s="60"/>
      <c r="F35" s="118" t="str">
        <f>IF(J60&lt;J44/MAX(J43,0.000001),"Critical zone needs more ventilation","")</f>
        <v/>
      </c>
      <c r="G35" s="60"/>
      <c r="I35" s="62"/>
      <c r="J35" s="117">
        <f>IF(AND(J13=D157,J29&gt;J74,J29&lt;J31),"Operating Condition Not Critical - Economizer will provide Outdoor Air required",IF(J60&gt;1,1,J60))</f>
        <v>0.37454545454545451</v>
      </c>
      <c r="K35" s="118"/>
      <c r="L35" s="118"/>
      <c r="M35" s="118"/>
      <c r="N35" s="118"/>
      <c r="O35" s="118"/>
      <c r="P35" s="118"/>
      <c r="Q35" s="118"/>
      <c r="R35" s="53"/>
      <c r="S35" s="52"/>
    </row>
    <row r="36" spans="1:19" s="33" customFormat="1">
      <c r="A36" s="119"/>
      <c r="B36" s="35" t="s">
        <v>146</v>
      </c>
      <c r="C36" s="212" t="str">
        <f>C65</f>
        <v>Vot</v>
      </c>
      <c r="D36" s="35" t="str">
        <f>D65</f>
        <v>cfm</v>
      </c>
      <c r="E36" s="35"/>
      <c r="F36" s="35"/>
      <c r="G36" s="35"/>
      <c r="H36" s="120"/>
      <c r="I36" s="51"/>
      <c r="J36" s="121">
        <f>IF(AND(J13=D157,J29&gt;J74,J29&lt;J31),"--",J63)</f>
        <v>825.00000000000011</v>
      </c>
      <c r="K36" s="96"/>
      <c r="L36" s="96"/>
      <c r="M36" s="96"/>
      <c r="N36" s="96"/>
      <c r="O36" s="96"/>
      <c r="P36" s="96"/>
      <c r="Q36" s="96"/>
      <c r="R36" s="53"/>
      <c r="S36" s="52"/>
    </row>
    <row r="37" spans="1:19" s="33" customFormat="1">
      <c r="A37" s="45"/>
      <c r="B37" s="60" t="s">
        <v>156</v>
      </c>
      <c r="C37" s="212" t="s">
        <v>291</v>
      </c>
      <c r="D37" s="60" t="str">
        <f>D10</f>
        <v>cfm/sf</v>
      </c>
      <c r="E37" s="94"/>
      <c r="F37" s="96" t="str">
        <f>IF(J43&gt;J9,"System primary supply airflow is greater than design supply airflow!","")</f>
        <v/>
      </c>
      <c r="G37" s="95"/>
      <c r="I37" s="62"/>
      <c r="J37" s="117">
        <f>J36/F7</f>
        <v>0.16019417475728157</v>
      </c>
      <c r="K37" s="96"/>
      <c r="L37" s="96"/>
      <c r="M37" s="96"/>
      <c r="N37" s="96"/>
      <c r="O37" s="96"/>
      <c r="P37" s="96"/>
      <c r="Q37" s="96"/>
      <c r="R37" s="53"/>
      <c r="S37" s="52"/>
    </row>
    <row r="38" spans="1:19" s="33" customFormat="1">
      <c r="A38" s="45"/>
      <c r="B38" s="60" t="s">
        <v>192</v>
      </c>
      <c r="C38" s="212" t="s">
        <v>292</v>
      </c>
      <c r="D38" s="60" t="s">
        <v>193</v>
      </c>
      <c r="E38" s="94"/>
      <c r="F38" s="95"/>
      <c r="G38" s="95"/>
      <c r="H38" s="56"/>
      <c r="I38" s="62"/>
      <c r="J38" s="122">
        <f>J36/Ps_diversified</f>
        <v>0.87025316455696211</v>
      </c>
      <c r="K38" s="96"/>
      <c r="L38" s="96"/>
      <c r="M38" s="96"/>
      <c r="N38" s="96"/>
      <c r="O38" s="96"/>
      <c r="P38" s="96"/>
      <c r="Q38" s="96"/>
      <c r="R38" s="53"/>
      <c r="S38" s="52"/>
    </row>
    <row r="39" spans="1:19" s="33" customFormat="1">
      <c r="A39" s="45"/>
      <c r="B39" s="60" t="s">
        <v>190</v>
      </c>
      <c r="C39" s="60" t="s">
        <v>191</v>
      </c>
      <c r="D39" s="278" t="s">
        <v>88</v>
      </c>
      <c r="E39" s="94"/>
      <c r="F39" s="95"/>
      <c r="G39" s="95"/>
      <c r="H39" s="56"/>
      <c r="I39" s="62"/>
      <c r="J39" s="123">
        <f>IF(AND(J13=D157,J29&gt;J74,J29&lt;J31),"--",J36/F9)</f>
        <v>0.18711947129155238</v>
      </c>
      <c r="K39" s="118" t="e">
        <f>IF(#REF!&gt;#REF!,"Error - Percent of Design Airflow Rate Ds for System must exceed Ypd","")</f>
        <v>#REF!</v>
      </c>
      <c r="L39" s="118" t="e">
        <f>IF(#REF!&gt;#REF!,"Error - Percent of Design Airflow Rate Ds for System must exceed Ypd","")</f>
        <v>#REF!</v>
      </c>
      <c r="M39" s="118" t="e">
        <f>IF(#REF!&gt;#REF!,"Error - Percent of Design Airflow Rate Ds for System must exceed Ypd","")</f>
        <v>#REF!</v>
      </c>
      <c r="N39" s="118" t="e">
        <f>IF(#REF!&gt;#REF!,"Error - Percent of Design Airflow Rate Ds for System must exceed Ypd","")</f>
        <v>#REF!</v>
      </c>
      <c r="O39" s="118" t="str">
        <f>IF(A39&gt;A24,"Error - Percent of Design Airflow Rate Ds for System must exceed Ypd","")</f>
        <v/>
      </c>
      <c r="P39" s="118" t="str">
        <f>IF(E39&gt;E24,"Error - Percent of Design Airflow Rate Ds for System must exceed Ypd","")</f>
        <v/>
      </c>
      <c r="Q39" s="118"/>
      <c r="R39" s="53"/>
      <c r="S39" s="52"/>
    </row>
    <row r="40" spans="1:19" s="127" customFormat="1" ht="13.5" thickBot="1">
      <c r="A40" s="124"/>
      <c r="B40" s="125"/>
      <c r="C40" s="125"/>
      <c r="D40" s="125"/>
      <c r="E40" s="126"/>
      <c r="H40" s="128"/>
      <c r="I40" s="128"/>
      <c r="J40" s="129"/>
      <c r="K40" s="130"/>
      <c r="L40" s="130"/>
      <c r="M40" s="130"/>
      <c r="N40" s="130"/>
      <c r="O40" s="130"/>
      <c r="P40" s="130"/>
      <c r="Q40" s="130"/>
      <c r="R40" s="131"/>
      <c r="S40" s="132"/>
    </row>
    <row r="41" spans="1:19" s="70" customFormat="1">
      <c r="A41" s="133" t="s">
        <v>148</v>
      </c>
      <c r="B41" s="134"/>
      <c r="C41" s="134"/>
      <c r="D41" s="134"/>
      <c r="E41" s="135"/>
      <c r="F41" s="136"/>
      <c r="G41" s="136"/>
      <c r="H41" s="137"/>
      <c r="I41" s="137"/>
      <c r="J41" s="138"/>
      <c r="K41" s="139"/>
      <c r="L41" s="139"/>
      <c r="M41" s="139"/>
      <c r="N41" s="139"/>
      <c r="O41" s="139"/>
      <c r="P41" s="139"/>
      <c r="Q41" s="139"/>
    </row>
    <row r="42" spans="1:19" s="70" customFormat="1">
      <c r="A42" s="133" t="s">
        <v>96</v>
      </c>
      <c r="B42" s="140"/>
      <c r="C42" s="141"/>
      <c r="D42" s="141"/>
      <c r="E42" s="138"/>
      <c r="F42" s="138"/>
      <c r="G42" s="138"/>
      <c r="H42" s="142"/>
      <c r="I42" s="143"/>
      <c r="J42" s="138"/>
      <c r="K42" s="139"/>
      <c r="L42" s="139"/>
      <c r="M42" s="139"/>
      <c r="N42" s="139"/>
      <c r="O42" s="139"/>
      <c r="P42" s="139"/>
      <c r="Q42" s="139"/>
    </row>
    <row r="43" spans="1:19" s="70" customFormat="1">
      <c r="A43" s="144"/>
      <c r="B43" s="134" t="s">
        <v>9</v>
      </c>
      <c r="C43" s="213" t="s">
        <v>77</v>
      </c>
      <c r="D43" s="145" t="str">
        <f>$D$9</f>
        <v>cfm</v>
      </c>
      <c r="E43" s="146" t="s">
        <v>95</v>
      </c>
      <c r="F43" s="271" t="s">
        <v>331</v>
      </c>
      <c r="G43" s="136"/>
      <c r="H43" s="147"/>
      <c r="I43" s="148" t="s">
        <v>95</v>
      </c>
      <c r="J43" s="149">
        <f>J9*J24</f>
        <v>825</v>
      </c>
      <c r="K43" s="136"/>
      <c r="L43" s="136"/>
      <c r="M43" s="136"/>
      <c r="N43" s="136"/>
      <c r="O43" s="136"/>
      <c r="P43" s="136"/>
      <c r="Q43" s="136"/>
      <c r="R43" s="158"/>
    </row>
    <row r="44" spans="1:19" s="70" customFormat="1">
      <c r="A44" s="133"/>
      <c r="B44" s="134" t="s">
        <v>10</v>
      </c>
      <c r="C44" s="213" t="s">
        <v>76</v>
      </c>
      <c r="D44" s="145" t="str">
        <f>$D$9</f>
        <v>cfm</v>
      </c>
      <c r="E44" s="146" t="s">
        <v>95</v>
      </c>
      <c r="F44" s="150" t="s">
        <v>293</v>
      </c>
      <c r="G44" s="150"/>
      <c r="H44" s="150"/>
      <c r="I44" s="148" t="s">
        <v>95</v>
      </c>
      <c r="J44" s="149">
        <f>F11*J8+F10*F7</f>
        <v>309</v>
      </c>
      <c r="K44" s="151"/>
      <c r="L44" s="151"/>
      <c r="M44" s="151"/>
      <c r="N44" s="151"/>
      <c r="O44" s="151"/>
      <c r="P44" s="151"/>
      <c r="Q44" s="151"/>
      <c r="R44" s="160"/>
    </row>
    <row r="45" spans="1:19" s="70" customFormat="1">
      <c r="A45" s="133"/>
      <c r="B45" s="134" t="s">
        <v>97</v>
      </c>
      <c r="C45" s="214" t="s">
        <v>56</v>
      </c>
      <c r="D45" s="145"/>
      <c r="E45" s="146" t="s">
        <v>95</v>
      </c>
      <c r="F45" s="218" t="s">
        <v>294</v>
      </c>
      <c r="G45" s="218"/>
      <c r="H45" s="154"/>
      <c r="I45" s="155" t="s">
        <v>95</v>
      </c>
      <c r="J45" s="151">
        <f>$J44/MAX($J43,1)</f>
        <v>0.37454545454545457</v>
      </c>
      <c r="K45" s="151"/>
      <c r="L45" s="151"/>
      <c r="M45" s="151"/>
      <c r="N45" s="151"/>
      <c r="O45" s="151"/>
      <c r="P45" s="151"/>
      <c r="Q45" s="151"/>
    </row>
    <row r="46" spans="1:19" s="70" customFormat="1">
      <c r="A46" s="133" t="s">
        <v>98</v>
      </c>
      <c r="B46" s="140"/>
      <c r="C46" s="141"/>
      <c r="D46" s="141"/>
      <c r="E46" s="138"/>
      <c r="F46" s="138"/>
      <c r="G46" s="138"/>
      <c r="H46" s="142"/>
      <c r="I46" s="143"/>
      <c r="J46" s="138"/>
      <c r="K46" s="139"/>
      <c r="L46" s="139"/>
      <c r="M46" s="139"/>
      <c r="N46" s="139"/>
      <c r="O46" s="139"/>
      <c r="P46" s="139"/>
      <c r="Q46" s="139"/>
    </row>
    <row r="47" spans="1:19" s="70" customFormat="1">
      <c r="A47" s="144"/>
      <c r="B47" s="134" t="s">
        <v>13</v>
      </c>
      <c r="C47" s="145" t="s">
        <v>283</v>
      </c>
      <c r="D47" s="145" t="str">
        <f>$D$10</f>
        <v>cfm/sf</v>
      </c>
      <c r="E47" s="136"/>
      <c r="F47" s="136"/>
      <c r="G47" s="136"/>
      <c r="H47" s="147"/>
      <c r="I47" s="148"/>
      <c r="J47" s="136"/>
      <c r="K47" s="151">
        <f t="shared" ref="K47:Q47" si="3">VLOOKUP(K$17,Space_air_rates,IF($C$4="IP",3,5),FALSE)*(1+$F$12)</f>
        <v>0.12</v>
      </c>
      <c r="L47" s="151">
        <f t="shared" si="3"/>
        <v>0.12</v>
      </c>
      <c r="M47" s="151">
        <f t="shared" si="3"/>
        <v>0.12</v>
      </c>
      <c r="N47" s="151">
        <f t="shared" si="3"/>
        <v>0.12</v>
      </c>
      <c r="O47" s="151">
        <f t="shared" si="3"/>
        <v>0.12</v>
      </c>
      <c r="P47" s="151">
        <f t="shared" si="3"/>
        <v>0.12</v>
      </c>
      <c r="Q47" s="151">
        <f t="shared" si="3"/>
        <v>0.06</v>
      </c>
    </row>
    <row r="48" spans="1:19" s="70" customFormat="1">
      <c r="A48" s="144"/>
      <c r="B48" s="134" t="s">
        <v>14</v>
      </c>
      <c r="C48" s="145" t="s">
        <v>284</v>
      </c>
      <c r="D48" s="145" t="str">
        <f>$D$11</f>
        <v>cfm/p</v>
      </c>
      <c r="E48" s="136"/>
      <c r="F48" s="136"/>
      <c r="G48" s="136"/>
      <c r="H48" s="147"/>
      <c r="I48" s="148"/>
      <c r="J48" s="136"/>
      <c r="K48" s="151">
        <f t="shared" ref="K48:Q48" si="4">VLOOKUP(K$17,Space_air_rates,IF($C$4="IP",2,4),FALSE)*(1+$F$12)</f>
        <v>10</v>
      </c>
      <c r="L48" s="151">
        <f t="shared" si="4"/>
        <v>10</v>
      </c>
      <c r="M48" s="151">
        <f t="shared" si="4"/>
        <v>10</v>
      </c>
      <c r="N48" s="151">
        <f t="shared" si="4"/>
        <v>10</v>
      </c>
      <c r="O48" s="151">
        <f t="shared" si="4"/>
        <v>10</v>
      </c>
      <c r="P48" s="151">
        <f t="shared" si="4"/>
        <v>10</v>
      </c>
      <c r="Q48" s="151">
        <f t="shared" si="4"/>
        <v>0</v>
      </c>
    </row>
    <row r="49" spans="1:19" s="70" customFormat="1">
      <c r="A49" s="133"/>
      <c r="B49" s="134" t="s">
        <v>94</v>
      </c>
      <c r="C49" s="213" t="s">
        <v>54</v>
      </c>
      <c r="D49" s="145" t="str">
        <f>$D$9</f>
        <v>cfm</v>
      </c>
      <c r="E49" s="156" t="str">
        <f>IF(J60&lt;J44/(J43+0.0001),"Critical zone needs more ventilation","")</f>
        <v/>
      </c>
      <c r="F49" s="272" t="s">
        <v>332</v>
      </c>
      <c r="G49" s="146"/>
      <c r="H49" s="150"/>
      <c r="I49" s="148"/>
      <c r="J49" s="157"/>
      <c r="K49" s="149">
        <f t="shared" ref="K49:P49" si="5">K20*K24</f>
        <v>650</v>
      </c>
      <c r="L49" s="149">
        <f t="shared" si="5"/>
        <v>650</v>
      </c>
      <c r="M49" s="149">
        <f t="shared" si="5"/>
        <v>650</v>
      </c>
      <c r="N49" s="149">
        <f t="shared" si="5"/>
        <v>650</v>
      </c>
      <c r="O49" s="149">
        <f t="shared" si="5"/>
        <v>650</v>
      </c>
      <c r="P49" s="149">
        <f t="shared" si="5"/>
        <v>333.9479</v>
      </c>
      <c r="Q49" s="149">
        <f>SUM(O18:P18)</f>
        <v>825</v>
      </c>
      <c r="R49" s="158">
        <f>SUM(K49:Q49)</f>
        <v>4408.9479000000001</v>
      </c>
    </row>
    <row r="50" spans="1:19" s="70" customFormat="1">
      <c r="A50" s="133"/>
      <c r="B50" s="134" t="s">
        <v>290</v>
      </c>
      <c r="C50" s="213" t="s">
        <v>287</v>
      </c>
      <c r="D50" s="145" t="s">
        <v>194</v>
      </c>
      <c r="E50" s="146" t="s">
        <v>95</v>
      </c>
      <c r="F50" s="219" t="s">
        <v>288</v>
      </c>
      <c r="G50" s="219"/>
      <c r="H50" s="150"/>
      <c r="I50" s="148" t="s">
        <v>95</v>
      </c>
      <c r="J50" s="151"/>
      <c r="K50" s="149">
        <f t="shared" ref="K50:P50" si="6">K49*K29</f>
        <v>650</v>
      </c>
      <c r="L50" s="149">
        <f t="shared" si="6"/>
        <v>650</v>
      </c>
      <c r="M50" s="149">
        <f t="shared" si="6"/>
        <v>650</v>
      </c>
      <c r="N50" s="149">
        <f t="shared" si="6"/>
        <v>650</v>
      </c>
      <c r="O50" s="149">
        <f t="shared" si="6"/>
        <v>650</v>
      </c>
      <c r="P50" s="149">
        <f t="shared" si="6"/>
        <v>333.9479</v>
      </c>
      <c r="Q50" s="149">
        <f>SUM(O18:P18)</f>
        <v>825</v>
      </c>
      <c r="R50" s="158">
        <f>SUM(K50:Q50)</f>
        <v>4408.9479000000001</v>
      </c>
    </row>
    <row r="51" spans="1:19" s="70" customFormat="1">
      <c r="A51" s="133"/>
      <c r="B51" s="134" t="s">
        <v>12</v>
      </c>
      <c r="C51" s="213" t="s">
        <v>99</v>
      </c>
      <c r="D51" s="145" t="str">
        <f>$D$9</f>
        <v>cfm</v>
      </c>
      <c r="E51" s="146" t="s">
        <v>95</v>
      </c>
      <c r="F51" s="219" t="s">
        <v>285</v>
      </c>
      <c r="G51" s="219"/>
      <c r="H51" s="150"/>
      <c r="I51" s="148" t="s">
        <v>95</v>
      </c>
      <c r="J51" s="151"/>
      <c r="K51" s="149">
        <f t="shared" ref="K51:P51" si="7">K48*K19+K47*K18</f>
        <v>324</v>
      </c>
      <c r="L51" s="149">
        <f t="shared" si="7"/>
        <v>324</v>
      </c>
      <c r="M51" s="149">
        <f t="shared" si="7"/>
        <v>324</v>
      </c>
      <c r="N51" s="149">
        <f t="shared" si="7"/>
        <v>324</v>
      </c>
      <c r="O51" s="149">
        <f t="shared" si="7"/>
        <v>324</v>
      </c>
      <c r="P51" s="149">
        <f t="shared" si="7"/>
        <v>45</v>
      </c>
      <c r="Q51" s="149">
        <f>SUM(O18:P18)</f>
        <v>825</v>
      </c>
      <c r="R51" s="158">
        <f>SUM(K51:Q51)</f>
        <v>2490</v>
      </c>
    </row>
    <row r="52" spans="1:19" s="70" customFormat="1">
      <c r="A52" s="133"/>
      <c r="B52" s="134" t="s">
        <v>11</v>
      </c>
      <c r="C52" s="213" t="s">
        <v>57</v>
      </c>
      <c r="D52" s="145" t="str">
        <f>$D$9</f>
        <v>cfm</v>
      </c>
      <c r="E52" s="146" t="s">
        <v>95</v>
      </c>
      <c r="F52" s="219" t="s">
        <v>295</v>
      </c>
      <c r="G52" s="219"/>
      <c r="H52" s="150"/>
      <c r="I52" s="148" t="s">
        <v>95</v>
      </c>
      <c r="J52" s="151"/>
      <c r="K52" s="149">
        <f t="shared" ref="K52:P52" si="8">K51/MAX(K26,0.1)</f>
        <v>405</v>
      </c>
      <c r="L52" s="149">
        <f t="shared" si="8"/>
        <v>405</v>
      </c>
      <c r="M52" s="149">
        <f t="shared" si="8"/>
        <v>405</v>
      </c>
      <c r="N52" s="149">
        <f t="shared" si="8"/>
        <v>405</v>
      </c>
      <c r="O52" s="149">
        <f t="shared" si="8"/>
        <v>405</v>
      </c>
      <c r="P52" s="149">
        <f t="shared" si="8"/>
        <v>56.25</v>
      </c>
      <c r="Q52" s="149">
        <f>SUM(O18:P18)</f>
        <v>825</v>
      </c>
      <c r="R52" s="158">
        <f>SUM(K52:Q52)</f>
        <v>2906.25</v>
      </c>
    </row>
    <row r="53" spans="1:19" s="70" customFormat="1">
      <c r="A53" s="144"/>
      <c r="B53" s="159" t="s">
        <v>100</v>
      </c>
      <c r="C53" s="213" t="s">
        <v>51</v>
      </c>
      <c r="D53" s="145"/>
      <c r="E53" s="146" t="s">
        <v>95</v>
      </c>
      <c r="F53" s="219" t="s">
        <v>296</v>
      </c>
      <c r="G53" s="219"/>
      <c r="H53" s="136"/>
      <c r="I53" s="148" t="s">
        <v>95</v>
      </c>
      <c r="J53" s="151"/>
      <c r="K53" s="151">
        <f t="shared" ref="K53:Q53" si="9">IF(OR(K21="Induction Terminal Unit",K21="Transfer Fan"),K29+(1-K29)*K28,1)</f>
        <v>1</v>
      </c>
      <c r="L53" s="151">
        <f t="shared" si="9"/>
        <v>1</v>
      </c>
      <c r="M53" s="151">
        <f t="shared" si="9"/>
        <v>1</v>
      </c>
      <c r="N53" s="151">
        <f t="shared" si="9"/>
        <v>1</v>
      </c>
      <c r="O53" s="151">
        <f t="shared" si="9"/>
        <v>1</v>
      </c>
      <c r="P53" s="151">
        <f t="shared" si="9"/>
        <v>1</v>
      </c>
      <c r="Q53" s="151">
        <f t="shared" si="9"/>
        <v>1</v>
      </c>
    </row>
    <row r="54" spans="1:19" s="70" customFormat="1">
      <c r="A54" s="144"/>
      <c r="B54" s="159" t="s">
        <v>101</v>
      </c>
      <c r="C54" s="213" t="s">
        <v>52</v>
      </c>
      <c r="D54" s="145"/>
      <c r="E54" s="146" t="s">
        <v>95</v>
      </c>
      <c r="F54" s="219" t="s">
        <v>55</v>
      </c>
      <c r="G54" s="219"/>
      <c r="H54" s="136"/>
      <c r="I54" s="148" t="s">
        <v>95</v>
      </c>
      <c r="J54" s="151"/>
      <c r="K54" s="151">
        <f t="shared" ref="K54:Q54" si="10">IF(ISTEXT(K21),K29,1)</f>
        <v>1</v>
      </c>
      <c r="L54" s="151">
        <f t="shared" si="10"/>
        <v>1</v>
      </c>
      <c r="M54" s="151">
        <f t="shared" si="10"/>
        <v>1</v>
      </c>
      <c r="N54" s="151">
        <f t="shared" si="10"/>
        <v>1</v>
      </c>
      <c r="O54" s="151">
        <f t="shared" si="10"/>
        <v>1</v>
      </c>
      <c r="P54" s="151">
        <f t="shared" si="10"/>
        <v>1</v>
      </c>
      <c r="Q54" s="151">
        <f t="shared" si="10"/>
        <v>1</v>
      </c>
    </row>
    <row r="55" spans="1:19" s="70" customFormat="1">
      <c r="A55" s="133"/>
      <c r="B55" s="134" t="s">
        <v>102</v>
      </c>
      <c r="C55" s="213" t="s">
        <v>53</v>
      </c>
      <c r="D55" s="145"/>
      <c r="E55" s="146" t="s">
        <v>95</v>
      </c>
      <c r="F55" s="219" t="s">
        <v>103</v>
      </c>
      <c r="G55" s="219"/>
      <c r="H55" s="136"/>
      <c r="I55" s="148" t="s">
        <v>95</v>
      </c>
      <c r="J55" s="151"/>
      <c r="K55" s="151">
        <f t="shared" ref="K55:Q55" si="11">IF(OR(K21="Dual Fan Dual Duct",K21="Transfer Fan",K21="Induction Terminal Unit"),1-(1-K26)*(1-K29)*(1-K28),1)</f>
        <v>1</v>
      </c>
      <c r="L55" s="151">
        <f t="shared" si="11"/>
        <v>1</v>
      </c>
      <c r="M55" s="151">
        <f t="shared" si="11"/>
        <v>1</v>
      </c>
      <c r="N55" s="151">
        <f t="shared" si="11"/>
        <v>1</v>
      </c>
      <c r="O55" s="151">
        <f t="shared" si="11"/>
        <v>1</v>
      </c>
      <c r="P55" s="151">
        <f t="shared" si="11"/>
        <v>1</v>
      </c>
      <c r="Q55" s="151">
        <f t="shared" si="11"/>
        <v>1</v>
      </c>
    </row>
    <row r="56" spans="1:19" s="70" customFormat="1">
      <c r="A56" s="133"/>
      <c r="B56" s="134" t="s">
        <v>2</v>
      </c>
      <c r="C56" s="151" t="s">
        <v>187</v>
      </c>
      <c r="D56" s="145"/>
      <c r="E56" s="146" t="s">
        <v>95</v>
      </c>
      <c r="F56" s="219" t="s">
        <v>149</v>
      </c>
      <c r="G56" s="219"/>
      <c r="H56" s="136"/>
      <c r="I56" s="148" t="s">
        <v>95</v>
      </c>
      <c r="J56" s="151"/>
      <c r="K56" s="151">
        <f t="shared" ref="K56:Q56" si="12">K52/MAX(K49,1)</f>
        <v>0.62307692307692308</v>
      </c>
      <c r="L56" s="151">
        <f t="shared" si="12"/>
        <v>0.62307692307692308</v>
      </c>
      <c r="M56" s="151">
        <f t="shared" si="12"/>
        <v>0.62307692307692308</v>
      </c>
      <c r="N56" s="151">
        <f t="shared" si="12"/>
        <v>0.62307692307692308</v>
      </c>
      <c r="O56" s="151">
        <f t="shared" si="12"/>
        <v>0.62307692307692308</v>
      </c>
      <c r="P56" s="151">
        <f t="shared" si="12"/>
        <v>0.16843944818937326</v>
      </c>
      <c r="Q56" s="151">
        <f t="shared" si="12"/>
        <v>1</v>
      </c>
      <c r="R56" s="160">
        <f>MAX(K56:Q56)</f>
        <v>1</v>
      </c>
      <c r="S56" s="70" t="s">
        <v>189</v>
      </c>
    </row>
    <row r="57" spans="1:19" s="70" customFormat="1">
      <c r="A57" s="133"/>
      <c r="B57" s="134" t="s">
        <v>3</v>
      </c>
      <c r="C57" s="215" t="s">
        <v>286</v>
      </c>
      <c r="D57" s="145"/>
      <c r="E57" s="146" t="s">
        <v>95</v>
      </c>
      <c r="F57" s="219" t="s">
        <v>188</v>
      </c>
      <c r="G57" s="219"/>
      <c r="H57" s="136"/>
      <c r="I57" s="148" t="s">
        <v>95</v>
      </c>
      <c r="J57" s="151"/>
      <c r="K57" s="151">
        <f t="shared" ref="K57:Q57" si="13">IF(K29&gt;0,K52/MAX(K50,1),0.001)</f>
        <v>0.62307692307692308</v>
      </c>
      <c r="L57" s="151">
        <f t="shared" si="13"/>
        <v>0.62307692307692308</v>
      </c>
      <c r="M57" s="151">
        <f t="shared" si="13"/>
        <v>0.62307692307692308</v>
      </c>
      <c r="N57" s="151">
        <f t="shared" si="13"/>
        <v>0.62307692307692308</v>
      </c>
      <c r="O57" s="151">
        <f t="shared" si="13"/>
        <v>0.62307692307692308</v>
      </c>
      <c r="P57" s="151">
        <f t="shared" si="13"/>
        <v>0.16843944818937326</v>
      </c>
      <c r="Q57" s="151">
        <f t="shared" si="13"/>
        <v>1</v>
      </c>
      <c r="R57" s="160">
        <f>MAX(K57:Q57)</f>
        <v>1</v>
      </c>
      <c r="S57" s="70" t="s">
        <v>298</v>
      </c>
    </row>
    <row r="58" spans="1:19" s="70" customFormat="1">
      <c r="A58" s="133" t="s">
        <v>104</v>
      </c>
      <c r="B58" s="134"/>
      <c r="C58" s="152"/>
      <c r="D58" s="145"/>
      <c r="E58" s="146"/>
      <c r="F58" s="153"/>
      <c r="G58" s="153"/>
      <c r="H58" s="154"/>
      <c r="I58" s="155"/>
      <c r="J58" s="161" t="str">
        <f>IF(MAX(Q56:Q56)&gt;1,"Critical zone needs over 100% OA in zone SA","")</f>
        <v/>
      </c>
      <c r="K58" s="151"/>
      <c r="L58" s="151"/>
      <c r="M58" s="151"/>
      <c r="N58" s="151"/>
      <c r="O58" s="151"/>
      <c r="P58" s="151"/>
      <c r="Q58" s="151"/>
    </row>
    <row r="59" spans="1:19" s="70" customFormat="1">
      <c r="A59" s="133"/>
      <c r="B59" s="134" t="s">
        <v>237</v>
      </c>
      <c r="C59" s="213" t="s">
        <v>105</v>
      </c>
      <c r="D59" s="145"/>
      <c r="E59" s="146" t="s">
        <v>95</v>
      </c>
      <c r="F59" s="219" t="s">
        <v>289</v>
      </c>
      <c r="G59" s="219"/>
      <c r="H59" s="136"/>
      <c r="I59" s="148" t="s">
        <v>95</v>
      </c>
      <c r="J59" s="145"/>
      <c r="K59" s="151">
        <f t="shared" ref="K59:Q59" si="14">(K53+K54*$J45-K55*K56)/MAX(K53,0.001)</f>
        <v>0.75146853146853143</v>
      </c>
      <c r="L59" s="151">
        <f t="shared" si="14"/>
        <v>0.75146853146853143</v>
      </c>
      <c r="M59" s="151">
        <f t="shared" si="14"/>
        <v>0.75146853146853143</v>
      </c>
      <c r="N59" s="151">
        <f t="shared" si="14"/>
        <v>0.75146853146853143</v>
      </c>
      <c r="O59" s="151">
        <f t="shared" si="14"/>
        <v>0.75146853146853143</v>
      </c>
      <c r="P59" s="151">
        <f t="shared" si="14"/>
        <v>1.2061060063560813</v>
      </c>
      <c r="Q59" s="151">
        <f t="shared" si="14"/>
        <v>0.37454545454545451</v>
      </c>
    </row>
    <row r="60" spans="1:19" s="70" customFormat="1">
      <c r="A60" s="133"/>
      <c r="B60" s="134" t="s">
        <v>238</v>
      </c>
      <c r="C60" s="213" t="s">
        <v>58</v>
      </c>
      <c r="D60" s="145"/>
      <c r="E60" s="146" t="s">
        <v>95</v>
      </c>
      <c r="F60" s="136" t="s">
        <v>297</v>
      </c>
      <c r="G60" s="136"/>
      <c r="H60" s="146"/>
      <c r="I60" s="148" t="s">
        <v>95</v>
      </c>
      <c r="J60" s="162">
        <f>MIN(Q59:Q59)</f>
        <v>0.37454545454545451</v>
      </c>
      <c r="K60" s="162"/>
      <c r="L60" s="162"/>
      <c r="M60" s="162"/>
      <c r="N60" s="162"/>
      <c r="O60" s="162"/>
      <c r="P60" s="162"/>
      <c r="Q60" s="163"/>
      <c r="R60" s="160"/>
    </row>
    <row r="61" spans="1:19" s="33" customFormat="1">
      <c r="A61" s="164"/>
      <c r="B61" s="165" t="s">
        <v>15</v>
      </c>
      <c r="C61" s="216" t="s">
        <v>58</v>
      </c>
      <c r="D61" s="166"/>
      <c r="E61" s="167" t="s">
        <v>95</v>
      </c>
      <c r="F61" s="168" t="s">
        <v>106</v>
      </c>
      <c r="G61" s="168"/>
      <c r="H61" s="167"/>
      <c r="I61" s="169" t="s">
        <v>95</v>
      </c>
      <c r="J61" s="170" t="str">
        <f>IF(MAX(Q57:Q57)&gt;0.55,"n/a",IF(MAX(Q57:Q57)&gt;0.45,0.7-(MAX(Q57:Q57)-0.45),IF(MAX(Q57:Q57)&gt;0.35,0.8-(MAX(Q57:Q57)-0.35),IF(MAX(Q57:Q57)&gt;0.25,0.9-(MAX(Q57:Q57)-0.25),1-(MAX(Q57:Q57)-0.15)))))</f>
        <v>n/a</v>
      </c>
      <c r="K61" s="170"/>
      <c r="L61" s="170"/>
      <c r="M61" s="170"/>
      <c r="N61" s="170"/>
      <c r="O61" s="170"/>
      <c r="P61" s="170"/>
      <c r="Q61" s="171"/>
    </row>
    <row r="62" spans="1:19" s="70" customFormat="1">
      <c r="A62" s="133" t="s">
        <v>107</v>
      </c>
      <c r="B62" s="134"/>
      <c r="C62" s="145"/>
      <c r="D62" s="145"/>
      <c r="E62" s="146"/>
      <c r="F62" s="136"/>
      <c r="G62" s="136"/>
      <c r="H62" s="146"/>
      <c r="I62" s="148"/>
      <c r="J62" s="172"/>
      <c r="K62" s="172"/>
      <c r="L62" s="172"/>
      <c r="M62" s="172"/>
      <c r="N62" s="172"/>
      <c r="O62" s="172"/>
      <c r="P62" s="172"/>
      <c r="Q62" s="163"/>
    </row>
    <row r="63" spans="1:19" s="70" customFormat="1">
      <c r="A63" s="133"/>
      <c r="B63" s="134" t="s">
        <v>108</v>
      </c>
      <c r="C63" s="215" t="s">
        <v>50</v>
      </c>
      <c r="D63" s="145" t="str">
        <f>IF($C$4="IP","cfm",IF($C$4="SI","l/s",""))</f>
        <v>cfm</v>
      </c>
      <c r="E63" s="146" t="s">
        <v>95</v>
      </c>
      <c r="F63" s="219" t="s">
        <v>109</v>
      </c>
      <c r="G63" s="219"/>
      <c r="H63" s="136"/>
      <c r="I63" s="148" t="s">
        <v>95</v>
      </c>
      <c r="J63" s="173">
        <f>IF(MIN(Q59:Q59)&lt;J44/J43,"No Solution",J44/J60)</f>
        <v>825.00000000000011</v>
      </c>
      <c r="K63" s="173"/>
      <c r="L63" s="173"/>
      <c r="M63" s="173"/>
      <c r="N63" s="173"/>
      <c r="O63" s="173"/>
      <c r="P63" s="173"/>
      <c r="Q63" s="163"/>
    </row>
    <row r="64" spans="1:19" s="70" customFormat="1">
      <c r="A64" s="133"/>
      <c r="B64" s="134" t="s">
        <v>110</v>
      </c>
      <c r="C64" s="145" t="s">
        <v>111</v>
      </c>
      <c r="D64" s="145"/>
      <c r="E64" s="146" t="s">
        <v>95</v>
      </c>
      <c r="F64" s="219" t="s">
        <v>112</v>
      </c>
      <c r="G64" s="219"/>
      <c r="H64" s="146"/>
      <c r="I64" s="148" t="s">
        <v>95</v>
      </c>
      <c r="J64" s="174">
        <f>IF(MIN(Q59:Q59)&lt;J44/J43,"Would need over 100% OA intake",J63/J43)</f>
        <v>1.0000000000000002</v>
      </c>
      <c r="K64" s="174"/>
      <c r="L64" s="174"/>
      <c r="M64" s="174"/>
      <c r="N64" s="174"/>
      <c r="O64" s="174"/>
      <c r="P64" s="174"/>
      <c r="Q64" s="163"/>
    </row>
    <row r="65" spans="1:17" s="70" customFormat="1">
      <c r="A65" s="164"/>
      <c r="B65" s="165" t="s">
        <v>239</v>
      </c>
      <c r="C65" s="217" t="s">
        <v>50</v>
      </c>
      <c r="D65" s="166" t="str">
        <f>IF($C$4="IP","cfm",IF($C$4="SI","l/s",""))</f>
        <v>cfm</v>
      </c>
      <c r="E65" s="167" t="s">
        <v>95</v>
      </c>
      <c r="F65" s="220" t="s">
        <v>109</v>
      </c>
      <c r="G65" s="220"/>
      <c r="H65" s="168"/>
      <c r="I65" s="169" t="s">
        <v>95</v>
      </c>
      <c r="J65" s="175" t="str">
        <f>IF(MAX(Q57:Q57)&gt;0.55,"n/a",J44/J61)</f>
        <v>n/a</v>
      </c>
      <c r="K65" s="175"/>
      <c r="L65" s="175"/>
      <c r="M65" s="175"/>
      <c r="N65" s="175"/>
      <c r="O65" s="175"/>
      <c r="P65" s="175"/>
      <c r="Q65" s="176"/>
    </row>
    <row r="66" spans="1:17" s="70" customFormat="1">
      <c r="A66" s="164"/>
      <c r="B66" s="165" t="s">
        <v>240</v>
      </c>
      <c r="C66" s="166" t="s">
        <v>111</v>
      </c>
      <c r="D66" s="166"/>
      <c r="E66" s="167" t="s">
        <v>95</v>
      </c>
      <c r="F66" s="220" t="s">
        <v>112</v>
      </c>
      <c r="G66" s="220"/>
      <c r="H66" s="167"/>
      <c r="I66" s="169" t="s">
        <v>95</v>
      </c>
      <c r="J66" s="177" t="str">
        <f>IF(MAX(Q57:Q57)&gt;0.55,"n/a",J65/J43)</f>
        <v>n/a</v>
      </c>
      <c r="K66" s="177"/>
      <c r="L66" s="177"/>
      <c r="M66" s="177"/>
      <c r="N66" s="177"/>
      <c r="O66" s="177"/>
      <c r="P66" s="177"/>
      <c r="Q66" s="176"/>
    </row>
    <row r="67" spans="1:17" s="70" customFormat="1" hidden="1">
      <c r="A67" s="133" t="s">
        <v>221</v>
      </c>
      <c r="B67" s="134"/>
      <c r="C67" s="145"/>
      <c r="D67" s="145"/>
      <c r="E67" s="136"/>
      <c r="F67" s="136"/>
      <c r="G67" s="136"/>
      <c r="H67" s="146"/>
      <c r="I67" s="148"/>
      <c r="J67" s="136"/>
      <c r="K67" s="136"/>
      <c r="L67" s="136"/>
      <c r="M67" s="136"/>
      <c r="N67" s="136"/>
      <c r="O67" s="136"/>
      <c r="P67" s="136"/>
      <c r="Q67" s="178"/>
    </row>
    <row r="68" spans="1:17" s="70" customFormat="1" hidden="1">
      <c r="A68" s="133"/>
      <c r="B68" s="134" t="s">
        <v>223</v>
      </c>
      <c r="C68" s="145" t="s">
        <v>227</v>
      </c>
      <c r="D68" s="145" t="s">
        <v>225</v>
      </c>
      <c r="E68" s="136"/>
      <c r="F68" s="136"/>
      <c r="G68" s="136"/>
      <c r="H68" s="146"/>
      <c r="I68" s="148"/>
      <c r="J68" s="136"/>
      <c r="K68" s="136"/>
      <c r="L68" s="136"/>
      <c r="M68" s="136"/>
      <c r="N68" s="136"/>
      <c r="O68" s="136"/>
      <c r="P68" s="136"/>
      <c r="Q68" s="178"/>
    </row>
    <row r="69" spans="1:17" s="70" customFormat="1" hidden="1">
      <c r="A69" s="133"/>
      <c r="B69" s="134" t="s">
        <v>228</v>
      </c>
      <c r="C69" s="145" t="s">
        <v>229</v>
      </c>
      <c r="D69" s="145" t="s">
        <v>230</v>
      </c>
      <c r="E69" s="146" t="s">
        <v>95</v>
      </c>
      <c r="F69" s="136"/>
      <c r="G69" s="136"/>
      <c r="H69" s="146"/>
      <c r="I69" s="148"/>
      <c r="J69" s="136"/>
      <c r="K69" s="136"/>
      <c r="L69" s="136"/>
      <c r="M69" s="136"/>
      <c r="N69" s="136"/>
      <c r="O69" s="136"/>
      <c r="P69" s="136"/>
      <c r="Q69" s="178"/>
    </row>
    <row r="70" spans="1:17" s="70" customFormat="1" hidden="1">
      <c r="A70" s="133"/>
      <c r="B70" s="134" t="s">
        <v>222</v>
      </c>
      <c r="C70" s="145" t="s">
        <v>224</v>
      </c>
      <c r="D70" s="145" t="s">
        <v>225</v>
      </c>
      <c r="E70" s="146" t="s">
        <v>95</v>
      </c>
      <c r="F70" s="136" t="s">
        <v>226</v>
      </c>
      <c r="G70" s="136"/>
      <c r="H70" s="146"/>
      <c r="I70" s="148" t="s">
        <v>95</v>
      </c>
      <c r="J70" s="136"/>
      <c r="K70" s="136"/>
      <c r="L70" s="136"/>
      <c r="M70" s="136"/>
      <c r="N70" s="136"/>
      <c r="O70" s="136"/>
      <c r="P70" s="136"/>
      <c r="Q70" s="178"/>
    </row>
    <row r="71" spans="1:17" s="70" customFormat="1" hidden="1">
      <c r="A71" s="133"/>
      <c r="B71" s="134" t="s">
        <v>232</v>
      </c>
      <c r="C71" s="145"/>
      <c r="D71" s="145"/>
      <c r="E71" s="136"/>
      <c r="F71" s="136"/>
      <c r="G71" s="136"/>
      <c r="H71" s="146"/>
      <c r="I71" s="148"/>
      <c r="J71" s="136"/>
      <c r="K71" s="136"/>
      <c r="L71" s="136"/>
      <c r="M71" s="136"/>
      <c r="N71" s="136"/>
      <c r="O71" s="136"/>
      <c r="P71" s="136"/>
      <c r="Q71" s="178"/>
    </row>
    <row r="72" spans="1:17" s="70" customFormat="1" hidden="1">
      <c r="A72" s="133"/>
      <c r="B72" s="134" t="s">
        <v>231</v>
      </c>
      <c r="C72" s="145"/>
      <c r="D72" s="145"/>
      <c r="E72" s="136"/>
      <c r="F72" s="136"/>
      <c r="G72" s="136"/>
      <c r="H72" s="146"/>
      <c r="I72" s="148"/>
      <c r="J72" s="198" t="e">
        <f>#REF!</f>
        <v>#REF!</v>
      </c>
      <c r="K72" s="198"/>
      <c r="L72" s="198"/>
      <c r="M72" s="198"/>
      <c r="N72" s="198"/>
      <c r="O72" s="198"/>
      <c r="P72" s="198"/>
      <c r="Q72" s="178"/>
    </row>
    <row r="73" spans="1:17" s="70" customFormat="1">
      <c r="A73" s="133" t="s">
        <v>113</v>
      </c>
      <c r="B73" s="179"/>
      <c r="C73" s="180"/>
      <c r="D73" s="180"/>
      <c r="E73" s="137"/>
      <c r="F73" s="181"/>
      <c r="G73" s="181"/>
      <c r="H73" s="135"/>
      <c r="I73" s="182"/>
      <c r="J73" s="183"/>
      <c r="K73" s="183"/>
      <c r="L73" s="183"/>
      <c r="M73" s="183"/>
      <c r="N73" s="183"/>
      <c r="O73" s="183"/>
      <c r="P73" s="183"/>
      <c r="Q73" s="183"/>
    </row>
    <row r="74" spans="1:17" s="70" customFormat="1" ht="13.5" thickBot="1">
      <c r="A74" s="184"/>
      <c r="B74" s="185" t="s">
        <v>122</v>
      </c>
      <c r="C74" s="186"/>
      <c r="D74" s="186" t="str">
        <f>D$29</f>
        <v>Deg F</v>
      </c>
      <c r="E74" s="187" t="s">
        <v>95</v>
      </c>
      <c r="F74" s="188" t="s">
        <v>123</v>
      </c>
      <c r="G74" s="188"/>
      <c r="H74" s="189"/>
      <c r="I74" s="190" t="s">
        <v>95</v>
      </c>
      <c r="J74" s="191">
        <f>((J30-J32)-(1-J64)*(J31+J33))/J64</f>
        <v>55</v>
      </c>
      <c r="K74" s="191"/>
      <c r="L74" s="191"/>
      <c r="M74" s="191"/>
      <c r="N74" s="191"/>
      <c r="O74" s="191"/>
      <c r="P74" s="191"/>
      <c r="Q74" s="192"/>
    </row>
    <row r="155" spans="1:4" s="23" customFormat="1" hidden="1">
      <c r="A155" s="23" t="s">
        <v>132</v>
      </c>
      <c r="B155" s="24"/>
      <c r="C155" s="25"/>
      <c r="D155" s="25"/>
    </row>
    <row r="156" spans="1:4" s="23" customFormat="1" hidden="1">
      <c r="A156" s="23" t="s">
        <v>125</v>
      </c>
      <c r="B156" s="24"/>
      <c r="C156" s="25"/>
      <c r="D156" s="25"/>
    </row>
    <row r="157" spans="1:4" s="23" customFormat="1" hidden="1">
      <c r="A157" s="23" t="str">
        <f>'Table 6-1 Rates'!B3</f>
        <v>IP</v>
      </c>
      <c r="B157" s="24"/>
      <c r="C157" s="25" t="s">
        <v>200</v>
      </c>
      <c r="D157" s="25" t="s">
        <v>136</v>
      </c>
    </row>
    <row r="158" spans="1:4" s="23" customFormat="1" hidden="1">
      <c r="A158" s="23" t="str">
        <f>'Table 6-1 Rates'!D3</f>
        <v>SI</v>
      </c>
      <c r="B158" s="24"/>
      <c r="C158" s="25" t="s">
        <v>333</v>
      </c>
      <c r="D158" s="25" t="s">
        <v>137</v>
      </c>
    </row>
    <row r="159" spans="1:4" s="23" customFormat="1" hidden="1">
      <c r="B159" s="24"/>
      <c r="C159" s="25" t="s">
        <v>334</v>
      </c>
      <c r="D159" s="25"/>
    </row>
    <row r="160" spans="1:4" s="23" customFormat="1" hidden="1">
      <c r="B160" s="24"/>
      <c r="C160" s="25" t="s">
        <v>335</v>
      </c>
      <c r="D160" s="25"/>
    </row>
    <row r="161" spans="1:3" s="26" customFormat="1" hidden="1">
      <c r="B161" s="27"/>
      <c r="C161" s="25"/>
    </row>
    <row r="162" spans="1:3" s="23" customFormat="1" hidden="1">
      <c r="A162" s="23" t="s">
        <v>199</v>
      </c>
      <c r="C162" s="26"/>
    </row>
    <row r="163" spans="1:3" s="23" customFormat="1" hidden="1">
      <c r="A163" s="23" t="s">
        <v>200</v>
      </c>
      <c r="B163" s="24">
        <v>1</v>
      </c>
    </row>
    <row r="164" spans="1:3" s="23" customFormat="1" hidden="1">
      <c r="A164" s="23" t="s">
        <v>211</v>
      </c>
      <c r="B164" s="24">
        <v>1</v>
      </c>
      <c r="C164" s="23" t="s">
        <v>242</v>
      </c>
    </row>
    <row r="165" spans="1:3" s="23" customFormat="1" hidden="1">
      <c r="A165" s="23" t="s">
        <v>212</v>
      </c>
      <c r="B165" s="24">
        <v>0.8</v>
      </c>
      <c r="C165" s="23" t="s">
        <v>201</v>
      </c>
    </row>
    <row r="166" spans="1:3" s="23" customFormat="1" hidden="1">
      <c r="A166" s="23" t="s">
        <v>213</v>
      </c>
      <c r="B166" s="24">
        <v>1</v>
      </c>
      <c r="C166" s="23" t="s">
        <v>202</v>
      </c>
    </row>
    <row r="167" spans="1:3" s="23" customFormat="1" hidden="1">
      <c r="A167" s="23" t="s">
        <v>214</v>
      </c>
      <c r="B167" s="24">
        <v>1</v>
      </c>
      <c r="C167" s="23" t="s">
        <v>203</v>
      </c>
    </row>
    <row r="168" spans="1:3" s="23" customFormat="1" hidden="1">
      <c r="A168" s="23" t="s">
        <v>215</v>
      </c>
      <c r="B168" s="24">
        <v>1</v>
      </c>
      <c r="C168" s="23" t="s">
        <v>204</v>
      </c>
    </row>
    <row r="169" spans="1:3" s="23" customFormat="1" hidden="1">
      <c r="A169" s="23" t="s">
        <v>216</v>
      </c>
      <c r="B169" s="24">
        <v>1.2</v>
      </c>
      <c r="C169" s="23" t="s">
        <v>205</v>
      </c>
    </row>
    <row r="170" spans="1:3" s="23" customFormat="1" hidden="1">
      <c r="A170" s="23" t="s">
        <v>217</v>
      </c>
      <c r="B170" s="24">
        <v>0.7</v>
      </c>
      <c r="C170" s="23" t="s">
        <v>206</v>
      </c>
    </row>
    <row r="171" spans="1:3" s="23" customFormat="1" hidden="1">
      <c r="A171" s="23" t="s">
        <v>218</v>
      </c>
      <c r="B171" s="24">
        <v>1</v>
      </c>
      <c r="C171" s="23" t="s">
        <v>207</v>
      </c>
    </row>
    <row r="172" spans="1:3" s="23" customFormat="1" hidden="1">
      <c r="A172" s="23" t="s">
        <v>219</v>
      </c>
      <c r="B172" s="24">
        <v>0.5</v>
      </c>
      <c r="C172" s="23" t="s">
        <v>208</v>
      </c>
    </row>
    <row r="173" spans="1:3" s="23" customFormat="1" hidden="1">
      <c r="A173" s="23" t="s">
        <v>220</v>
      </c>
      <c r="B173" s="24">
        <v>0.8</v>
      </c>
      <c r="C173" s="23" t="s">
        <v>209</v>
      </c>
    </row>
    <row r="174" spans="1:3" s="23" customFormat="1" hidden="1">
      <c r="B174" s="24"/>
      <c r="C174" s="23" t="s">
        <v>210</v>
      </c>
    </row>
    <row r="175" spans="1:3" s="23" customFormat="1" hidden="1">
      <c r="B175" s="24"/>
    </row>
    <row r="176" spans="1:3" s="23" customFormat="1" hidden="1">
      <c r="B176" s="24"/>
    </row>
    <row r="177" spans="2:2" s="23" customFormat="1" hidden="1">
      <c r="B177" s="24"/>
    </row>
    <row r="178" spans="2:2" s="23" customFormat="1" hidden="1">
      <c r="B178" s="24"/>
    </row>
    <row r="179" spans="2:2" s="23" customFormat="1" hidden="1">
      <c r="B179" s="24"/>
    </row>
    <row r="180" spans="2:2" s="23" customFormat="1" hidden="1">
      <c r="B180" s="24"/>
    </row>
    <row r="181" spans="2:2" s="23" customFormat="1" hidden="1">
      <c r="B181" s="24"/>
    </row>
    <row r="182" spans="2:2" s="23" customFormat="1" hidden="1">
      <c r="B182" s="24"/>
    </row>
    <row r="183" spans="2:2" s="23" customFormat="1" hidden="1">
      <c r="B183" s="24"/>
    </row>
    <row r="184" spans="2:2" s="23" customFormat="1" hidden="1">
      <c r="B184" s="24"/>
    </row>
    <row r="185" spans="2:2" s="23" customFormat="1" hidden="1"/>
    <row r="186" spans="2:2" s="23" customFormat="1" hidden="1">
      <c r="B186" t="s">
        <v>244</v>
      </c>
    </row>
    <row r="187" spans="2:2" s="23" customFormat="1" hidden="1">
      <c r="B187" t="s">
        <v>245</v>
      </c>
    </row>
    <row r="188" spans="2:2" s="23" customFormat="1" hidden="1">
      <c r="B188" t="s">
        <v>246</v>
      </c>
    </row>
    <row r="189" spans="2:2" s="23" customFormat="1" hidden="1">
      <c r="B189" t="s">
        <v>247</v>
      </c>
    </row>
    <row r="190" spans="2:2" s="23" customFormat="1" hidden="1">
      <c r="B190" s="24"/>
    </row>
    <row r="191" spans="2:2" s="23" customFormat="1" hidden="1">
      <c r="B191" s="24"/>
    </row>
    <row r="192" spans="2:2" s="23" customFormat="1" hidden="1">
      <c r="B192" s="8" t="s">
        <v>514</v>
      </c>
    </row>
    <row r="193" spans="2:2" s="23" customFormat="1" hidden="1">
      <c r="B193" s="8" t="s">
        <v>513</v>
      </c>
    </row>
    <row r="194" spans="2:2" s="23" customFormat="1" hidden="1">
      <c r="B194" s="8"/>
    </row>
    <row r="195" spans="2:2" s="23" customFormat="1" hidden="1">
      <c r="B195" s="8"/>
    </row>
    <row r="196" spans="2:2" s="23" customFormat="1" hidden="1">
      <c r="B196" s="8"/>
    </row>
    <row r="197" spans="2:2" s="23" customFormat="1" hidden="1">
      <c r="B197" s="8"/>
    </row>
    <row r="198" spans="2:2" s="23" customFormat="1" hidden="1">
      <c r="B198" s="8"/>
    </row>
    <row r="199" spans="2:2" s="23" customFormat="1" hidden="1">
      <c r="B199" s="8"/>
    </row>
    <row r="200" spans="2:2" s="23" customFormat="1" hidden="1">
      <c r="B200" s="8"/>
    </row>
    <row r="201" spans="2:2" s="23" customFormat="1" hidden="1">
      <c r="B201" s="8"/>
    </row>
    <row r="202" spans="2:2" s="23" customFormat="1" hidden="1">
      <c r="B202" s="8"/>
    </row>
    <row r="203" spans="2:2" s="23" customFormat="1" hidden="1">
      <c r="B203" s="8"/>
    </row>
    <row r="204" spans="2:2" s="23" customFormat="1" hidden="1">
      <c r="B204" s="8"/>
    </row>
    <row r="205" spans="2:2" s="23" customFormat="1" hidden="1">
      <c r="B205" s="8"/>
    </row>
    <row r="206" spans="2:2" s="23" customFormat="1" hidden="1">
      <c r="B206" s="8"/>
    </row>
    <row r="207" spans="2:2" s="23" customFormat="1" hidden="1">
      <c r="B207" s="8"/>
    </row>
    <row r="208" spans="2:2" s="23" customFormat="1" hidden="1">
      <c r="B208" s="8"/>
    </row>
    <row r="209" spans="2:2" s="23" customFormat="1" hidden="1">
      <c r="B209" s="8"/>
    </row>
    <row r="210" spans="2:2" s="23" customFormat="1" hidden="1">
      <c r="B210" s="8"/>
    </row>
    <row r="211" spans="2:2" s="23" customFormat="1" hidden="1">
      <c r="B211" s="8"/>
    </row>
    <row r="212" spans="2:2" s="23" customFormat="1" hidden="1">
      <c r="B212" s="8"/>
    </row>
    <row r="213" spans="2:2" s="23" customFormat="1" hidden="1">
      <c r="B213" s="8"/>
    </row>
    <row r="214" spans="2:2" s="23" customFormat="1" hidden="1">
      <c r="B214" s="8"/>
    </row>
    <row r="215" spans="2:2" s="23" customFormat="1" hidden="1">
      <c r="B215" s="8"/>
    </row>
    <row r="216" spans="2:2" s="23" customFormat="1" hidden="1">
      <c r="B216" s="8"/>
    </row>
    <row r="217" spans="2:2" s="23" customFormat="1" hidden="1">
      <c r="B217" s="8"/>
    </row>
    <row r="218" spans="2:2" s="23" customFormat="1" hidden="1">
      <c r="B218" s="8"/>
    </row>
    <row r="219" spans="2:2" s="23" customFormat="1" hidden="1">
      <c r="B219" s="8"/>
    </row>
    <row r="220" spans="2:2" s="23" customFormat="1" hidden="1">
      <c r="B220" s="8"/>
    </row>
    <row r="221" spans="2:2" s="23" customFormat="1" hidden="1">
      <c r="B221" s="8"/>
    </row>
    <row r="222" spans="2:2" s="23" customFormat="1" hidden="1">
      <c r="B222" s="8"/>
    </row>
    <row r="223" spans="2:2" s="23" customFormat="1" hidden="1">
      <c r="B223" s="8"/>
    </row>
    <row r="224" spans="2:2" s="23" customFormat="1" hidden="1">
      <c r="B224" s="8"/>
    </row>
    <row r="225" spans="2:4" s="23" customFormat="1" hidden="1">
      <c r="B225" s="8"/>
    </row>
    <row r="226" spans="2:4" hidden="1">
      <c r="B226" s="8"/>
      <c r="C226" s="23"/>
      <c r="D226" s="17"/>
    </row>
    <row r="227" spans="2:4" hidden="1">
      <c r="B227" s="8"/>
      <c r="C227" s="17"/>
      <c r="D227" s="17"/>
    </row>
    <row r="228" spans="2:4" hidden="1">
      <c r="B228" s="8"/>
      <c r="C228" s="17"/>
      <c r="D228" s="17"/>
    </row>
    <row r="229" spans="2:4" hidden="1">
      <c r="B229" s="8"/>
      <c r="C229" s="17"/>
      <c r="D229" s="17"/>
    </row>
    <row r="230" spans="2:4" hidden="1">
      <c r="B230" s="8"/>
      <c r="C230" s="17"/>
      <c r="D230" s="17"/>
    </row>
    <row r="231" spans="2:4" hidden="1">
      <c r="B231" s="8"/>
      <c r="C231" s="17"/>
      <c r="D231" s="17"/>
    </row>
    <row r="232" spans="2:4" hidden="1">
      <c r="B232" s="8"/>
      <c r="C232" s="17"/>
      <c r="D232" s="17"/>
    </row>
    <row r="233" spans="2:4" hidden="1">
      <c r="B233" s="8"/>
      <c r="C233" s="17"/>
      <c r="D233" s="17"/>
    </row>
    <row r="234" spans="2:4" hidden="1">
      <c r="B234" s="8"/>
      <c r="C234" s="17"/>
      <c r="D234" s="17"/>
    </row>
    <row r="235" spans="2:4" hidden="1">
      <c r="B235" s="8"/>
      <c r="C235" s="17"/>
      <c r="D235" s="17"/>
    </row>
    <row r="236" spans="2:4" hidden="1">
      <c r="B236" s="8"/>
      <c r="C236" s="17"/>
      <c r="D236" s="17"/>
    </row>
    <row r="237" spans="2:4" hidden="1">
      <c r="B237" s="8"/>
      <c r="C237" s="17"/>
      <c r="D237" s="17"/>
    </row>
    <row r="238" spans="2:4" hidden="1">
      <c r="B238" s="8"/>
      <c r="C238" s="17"/>
      <c r="D238" s="17"/>
    </row>
    <row r="239" spans="2:4" hidden="1">
      <c r="B239" s="8"/>
      <c r="C239" s="17"/>
      <c r="D239" s="17"/>
    </row>
    <row r="240" spans="2:4" hidden="1">
      <c r="B240" s="8"/>
      <c r="C240" s="17"/>
      <c r="D240" s="17"/>
    </row>
    <row r="241" spans="2:4" hidden="1">
      <c r="B241" s="8"/>
      <c r="C241" s="17"/>
      <c r="D241" s="17"/>
    </row>
    <row r="242" spans="2:4" hidden="1">
      <c r="B242" s="8"/>
      <c r="C242" s="17"/>
      <c r="D242" s="17"/>
    </row>
    <row r="243" spans="2:4" hidden="1">
      <c r="B243" s="8"/>
      <c r="C243" s="17"/>
      <c r="D243" s="17"/>
    </row>
    <row r="244" spans="2:4" hidden="1">
      <c r="B244" s="8"/>
      <c r="C244" s="17"/>
      <c r="D244" s="17"/>
    </row>
    <row r="245" spans="2:4" hidden="1">
      <c r="B245" s="8"/>
      <c r="C245" s="17"/>
      <c r="D245" s="17"/>
    </row>
    <row r="246" spans="2:4" hidden="1">
      <c r="B246" s="8"/>
      <c r="C246" s="17"/>
      <c r="D246" s="17"/>
    </row>
    <row r="247" spans="2:4" hidden="1">
      <c r="B247" s="8"/>
      <c r="C247" s="17"/>
      <c r="D247" s="17"/>
    </row>
    <row r="248" spans="2:4" hidden="1">
      <c r="B248" s="8"/>
      <c r="C248" s="17"/>
      <c r="D248" s="17"/>
    </row>
    <row r="249" spans="2:4" hidden="1">
      <c r="B249" s="8"/>
      <c r="C249" s="17"/>
      <c r="D249" s="17"/>
    </row>
    <row r="250" spans="2:4" hidden="1">
      <c r="B250" s="8"/>
      <c r="C250" s="17"/>
      <c r="D250" s="17"/>
    </row>
    <row r="251" spans="2:4" hidden="1">
      <c r="B251" s="8"/>
      <c r="C251" s="17"/>
      <c r="D251" s="17"/>
    </row>
    <row r="252" spans="2:4" hidden="1">
      <c r="B252" s="8"/>
      <c r="C252" s="17"/>
      <c r="D252" s="17"/>
    </row>
    <row r="253" spans="2:4" hidden="1">
      <c r="B253" s="8"/>
      <c r="C253" s="17"/>
      <c r="D253" s="17"/>
    </row>
    <row r="254" spans="2:4" hidden="1">
      <c r="B254" s="8"/>
      <c r="C254" s="17"/>
      <c r="D254" s="17"/>
    </row>
    <row r="255" spans="2:4" hidden="1">
      <c r="B255" s="8"/>
      <c r="C255" s="17"/>
      <c r="D255" s="17"/>
    </row>
    <row r="256" spans="2:4" hidden="1">
      <c r="B256" s="8"/>
      <c r="C256" s="17"/>
      <c r="D256" s="17"/>
    </row>
    <row r="257" spans="2:4" hidden="1">
      <c r="B257" s="8"/>
      <c r="C257" s="17"/>
      <c r="D257" s="17"/>
    </row>
    <row r="258" spans="2:4" hidden="1">
      <c r="B258" s="8"/>
      <c r="C258" s="17"/>
      <c r="D258" s="17"/>
    </row>
    <row r="259" spans="2:4" hidden="1">
      <c r="B259" s="8"/>
      <c r="C259" s="17"/>
      <c r="D259" s="17"/>
    </row>
    <row r="260" spans="2:4" hidden="1">
      <c r="B260" s="8"/>
      <c r="C260" s="17"/>
      <c r="D260" s="17"/>
    </row>
    <row r="261" spans="2:4" hidden="1">
      <c r="B261" s="8"/>
      <c r="C261" s="17"/>
      <c r="D261" s="17"/>
    </row>
    <row r="262" spans="2:4" hidden="1">
      <c r="B262" s="8"/>
      <c r="C262" s="17"/>
      <c r="D262" s="17"/>
    </row>
    <row r="263" spans="2:4" hidden="1">
      <c r="B263" s="8"/>
      <c r="C263" s="17"/>
      <c r="D263" s="17"/>
    </row>
    <row r="264" spans="2:4" hidden="1">
      <c r="B264" s="8"/>
      <c r="C264" s="17"/>
      <c r="D264" s="17"/>
    </row>
    <row r="265" spans="2:4" hidden="1">
      <c r="B265" s="8"/>
      <c r="C265" s="17"/>
      <c r="D265" s="17"/>
    </row>
    <row r="266" spans="2:4" hidden="1">
      <c r="B266" s="8"/>
      <c r="C266" s="17"/>
      <c r="D266" s="17"/>
    </row>
    <row r="267" spans="2:4" hidden="1">
      <c r="B267" s="8"/>
      <c r="C267" s="17"/>
      <c r="D267" s="17"/>
    </row>
    <row r="268" spans="2:4" hidden="1">
      <c r="B268" s="8"/>
      <c r="C268" s="17"/>
      <c r="D268" s="17"/>
    </row>
    <row r="269" spans="2:4" hidden="1">
      <c r="B269" s="8"/>
      <c r="C269" s="17"/>
      <c r="D269" s="17"/>
    </row>
    <row r="270" spans="2:4" hidden="1">
      <c r="B270" s="8"/>
      <c r="C270" s="17"/>
      <c r="D270" s="17"/>
    </row>
    <row r="271" spans="2:4" hidden="1">
      <c r="B271" s="8"/>
      <c r="C271" s="17"/>
      <c r="D271" s="17"/>
    </row>
    <row r="272" spans="2:4" hidden="1">
      <c r="B272" s="8"/>
      <c r="C272" s="17"/>
      <c r="D272" s="17"/>
    </row>
    <row r="273" spans="2:4" hidden="1">
      <c r="B273" s="8"/>
      <c r="C273" s="17"/>
      <c r="D273" s="17"/>
    </row>
    <row r="274" spans="2:4" hidden="1">
      <c r="B274" s="8"/>
      <c r="C274" s="17"/>
      <c r="D274" s="17"/>
    </row>
    <row r="275" spans="2:4" hidden="1">
      <c r="B275" s="8"/>
      <c r="C275" s="17"/>
      <c r="D275" s="17"/>
    </row>
    <row r="276" spans="2:4" hidden="1">
      <c r="B276" s="8"/>
      <c r="C276" s="17"/>
      <c r="D276" s="17"/>
    </row>
    <row r="277" spans="2:4" hidden="1">
      <c r="B277" s="8"/>
      <c r="C277" s="17"/>
      <c r="D277" s="17"/>
    </row>
    <row r="278" spans="2:4" hidden="1">
      <c r="B278" s="8"/>
      <c r="C278" s="17"/>
      <c r="D278" s="17"/>
    </row>
    <row r="279" spans="2:4" hidden="1">
      <c r="B279" s="8"/>
      <c r="C279" s="17"/>
      <c r="D279" s="17"/>
    </row>
    <row r="280" spans="2:4" hidden="1">
      <c r="B280" s="8"/>
      <c r="C280" s="17"/>
      <c r="D280" s="17"/>
    </row>
    <row r="281" spans="2:4" hidden="1">
      <c r="B281" s="8"/>
      <c r="C281" s="17"/>
      <c r="D281" s="17"/>
    </row>
    <row r="282" spans="2:4" hidden="1">
      <c r="B282" s="8"/>
      <c r="C282" s="17"/>
      <c r="D282" s="17"/>
    </row>
    <row r="283" spans="2:4" hidden="1">
      <c r="B283" s="8"/>
      <c r="C283" s="17"/>
      <c r="D283" s="17"/>
    </row>
    <row r="284" spans="2:4" hidden="1">
      <c r="B284" s="8"/>
      <c r="C284" s="17"/>
      <c r="D284" s="17"/>
    </row>
    <row r="285" spans="2:4" hidden="1">
      <c r="B285" s="8"/>
      <c r="C285" s="17"/>
      <c r="D285" s="17"/>
    </row>
    <row r="286" spans="2:4" hidden="1">
      <c r="B286" s="8"/>
      <c r="C286" s="17"/>
      <c r="D286" s="17"/>
    </row>
    <row r="287" spans="2:4" hidden="1">
      <c r="B287" s="8"/>
      <c r="C287" s="17"/>
      <c r="D287" s="17"/>
    </row>
    <row r="288" spans="2:4" hidden="1">
      <c r="B288" s="8"/>
      <c r="C288" s="17"/>
      <c r="D288" s="17"/>
    </row>
    <row r="289" spans="2:4" hidden="1">
      <c r="B289" s="8"/>
      <c r="C289" s="17"/>
      <c r="D289" s="17"/>
    </row>
    <row r="290" spans="2:4" hidden="1">
      <c r="B290" s="8"/>
      <c r="C290" s="17"/>
      <c r="D290" s="17"/>
    </row>
    <row r="291" spans="2:4" hidden="1">
      <c r="B291" s="8"/>
      <c r="C291" s="17"/>
      <c r="D291" s="17"/>
    </row>
    <row r="292" spans="2:4" hidden="1">
      <c r="B292" s="8"/>
      <c r="C292" s="17"/>
      <c r="D292" s="17"/>
    </row>
    <row r="293" spans="2:4" hidden="1">
      <c r="B293" s="8"/>
      <c r="C293" s="17"/>
      <c r="D293" s="17"/>
    </row>
    <row r="294" spans="2:4" hidden="1">
      <c r="B294" s="8"/>
      <c r="C294" s="17"/>
      <c r="D294" s="17"/>
    </row>
    <row r="295" spans="2:4" hidden="1">
      <c r="B295" s="8"/>
      <c r="C295" s="17"/>
      <c r="D295" s="17"/>
    </row>
    <row r="296" spans="2:4" hidden="1">
      <c r="B296" s="8"/>
      <c r="C296" s="17"/>
      <c r="D296" s="17"/>
    </row>
    <row r="297" spans="2:4" hidden="1">
      <c r="B297" s="8"/>
      <c r="C297" s="17"/>
      <c r="D297" s="17"/>
    </row>
    <row r="298" spans="2:4" hidden="1">
      <c r="B298" s="8"/>
      <c r="C298" s="17"/>
      <c r="D298" s="17"/>
    </row>
    <row r="299" spans="2:4" hidden="1">
      <c r="B299" s="8"/>
      <c r="C299" s="17"/>
      <c r="D299" s="17"/>
    </row>
    <row r="300" spans="2:4" hidden="1">
      <c r="B300" s="8"/>
      <c r="C300" s="17"/>
      <c r="D300" s="17"/>
    </row>
    <row r="301" spans="2:4" hidden="1">
      <c r="B301" s="8"/>
      <c r="C301" s="17"/>
      <c r="D301" s="17"/>
    </row>
    <row r="302" spans="2:4" hidden="1">
      <c r="B302" s="8"/>
      <c r="C302" s="17"/>
      <c r="D302" s="17"/>
    </row>
    <row r="303" spans="2:4" hidden="1">
      <c r="B303" s="8"/>
      <c r="C303" s="17"/>
      <c r="D303" s="17"/>
    </row>
    <row r="304" spans="2:4" hidden="1">
      <c r="B304" s="8"/>
      <c r="C304" s="17"/>
      <c r="D304" s="17"/>
    </row>
    <row r="305" spans="2:4" hidden="1">
      <c r="B305" s="8"/>
      <c r="C305" s="17"/>
      <c r="D305" s="17"/>
    </row>
    <row r="306" spans="2:4" hidden="1">
      <c r="B306" s="8"/>
      <c r="C306" s="17"/>
      <c r="D306" s="17"/>
    </row>
    <row r="307" spans="2:4" hidden="1">
      <c r="B307" s="8"/>
      <c r="C307" s="17"/>
      <c r="D307" s="17"/>
    </row>
    <row r="308" spans="2:4" hidden="1">
      <c r="B308" s="8"/>
      <c r="C308" s="17"/>
      <c r="D308" s="17"/>
    </row>
    <row r="309" spans="2:4" hidden="1">
      <c r="B309" s="8"/>
      <c r="C309" s="17"/>
      <c r="D309" s="17"/>
    </row>
    <row r="310" spans="2:4" hidden="1">
      <c r="B310" s="8"/>
      <c r="C310" s="17"/>
      <c r="D310" s="17"/>
    </row>
    <row r="311" spans="2:4" hidden="1">
      <c r="B311" s="8"/>
      <c r="C311" s="17"/>
      <c r="D311" s="17"/>
    </row>
    <row r="312" spans="2:4" hidden="1">
      <c r="B312" s="8"/>
      <c r="C312" s="17"/>
      <c r="D312" s="17"/>
    </row>
    <row r="313" spans="2:4" hidden="1">
      <c r="B313" s="8"/>
      <c r="C313" s="17"/>
      <c r="D313" s="17"/>
    </row>
    <row r="314" spans="2:4" hidden="1">
      <c r="B314" s="8"/>
      <c r="C314" s="17"/>
      <c r="D314" s="17"/>
    </row>
    <row r="315" spans="2:4" hidden="1">
      <c r="B315" s="8"/>
      <c r="C315" s="17"/>
      <c r="D315" s="17"/>
    </row>
    <row r="316" spans="2:4" hidden="1">
      <c r="B316" s="8"/>
      <c r="C316" s="17"/>
      <c r="D316" s="17"/>
    </row>
    <row r="317" spans="2:4" hidden="1">
      <c r="B317" s="8"/>
      <c r="C317" s="17"/>
      <c r="D317" s="17"/>
    </row>
    <row r="318" spans="2:4" hidden="1">
      <c r="B318" s="8"/>
      <c r="C318" s="17"/>
      <c r="D318" s="17"/>
    </row>
    <row r="319" spans="2:4" hidden="1">
      <c r="B319" s="8"/>
      <c r="C319" s="17"/>
      <c r="D319" s="17"/>
    </row>
    <row r="320" spans="2:4" hidden="1">
      <c r="B320" s="8"/>
      <c r="C320" s="17"/>
      <c r="D320" s="17"/>
    </row>
    <row r="321" spans="2:4" hidden="1">
      <c r="B321" s="8"/>
      <c r="C321" s="17"/>
      <c r="D321" s="17"/>
    </row>
    <row r="322" spans="2:4" hidden="1">
      <c r="B322" s="8"/>
      <c r="C322" s="17"/>
      <c r="D322" s="17"/>
    </row>
    <row r="323" spans="2:4" hidden="1">
      <c r="B323" s="8"/>
      <c r="C323" s="17"/>
      <c r="D323" s="17"/>
    </row>
    <row r="324" spans="2:4" hidden="1">
      <c r="B324" s="8"/>
      <c r="C324" s="17"/>
      <c r="D324" s="17"/>
    </row>
    <row r="325" spans="2:4" hidden="1">
      <c r="B325" s="8"/>
      <c r="C325" s="17"/>
      <c r="D325" s="17"/>
    </row>
    <row r="326" spans="2:4" hidden="1">
      <c r="B326" s="8"/>
      <c r="C326" s="17"/>
      <c r="D326" s="17"/>
    </row>
    <row r="327" spans="2:4" hidden="1">
      <c r="B327" s="8"/>
      <c r="C327" s="17"/>
      <c r="D327" s="17"/>
    </row>
    <row r="328" spans="2:4" hidden="1">
      <c r="B328" s="8"/>
      <c r="C328" s="17"/>
      <c r="D328" s="17"/>
    </row>
    <row r="329" spans="2:4" hidden="1">
      <c r="B329" s="8"/>
      <c r="C329" s="17"/>
      <c r="D329" s="17"/>
    </row>
    <row r="330" spans="2:4" hidden="1">
      <c r="B330" s="8"/>
      <c r="C330" s="17"/>
      <c r="D330" s="17"/>
    </row>
    <row r="331" spans="2:4" hidden="1">
      <c r="B331" s="8"/>
      <c r="C331" s="17"/>
      <c r="D331" s="17"/>
    </row>
    <row r="332" spans="2:4" hidden="1">
      <c r="B332" s="8"/>
      <c r="C332" s="17"/>
      <c r="D332" s="17"/>
    </row>
    <row r="333" spans="2:4" hidden="1">
      <c r="B333" s="8"/>
      <c r="C333" s="17"/>
      <c r="D333" s="17"/>
    </row>
    <row r="334" spans="2:4" hidden="1">
      <c r="B334" s="8"/>
      <c r="C334" s="17"/>
      <c r="D334" s="17"/>
    </row>
    <row r="335" spans="2:4" hidden="1">
      <c r="B335" s="8"/>
      <c r="C335" s="17"/>
      <c r="D335" s="17"/>
    </row>
    <row r="336" spans="2:4" hidden="1">
      <c r="B336" s="8"/>
      <c r="C336" s="17"/>
      <c r="D336" s="17"/>
    </row>
    <row r="337" spans="2:4" hidden="1">
      <c r="B337" s="8"/>
      <c r="C337" s="17"/>
      <c r="D337" s="17"/>
    </row>
    <row r="338" spans="2:4" hidden="1">
      <c r="B338" s="8"/>
      <c r="C338" s="17"/>
      <c r="D338" s="17"/>
    </row>
    <row r="339" spans="2:4" hidden="1">
      <c r="B339" s="8"/>
      <c r="C339" s="17"/>
      <c r="D339" s="17"/>
    </row>
    <row r="340" spans="2:4" hidden="1">
      <c r="B340" s="8"/>
      <c r="C340" s="17"/>
      <c r="D340" s="17"/>
    </row>
    <row r="341" spans="2:4" hidden="1">
      <c r="B341" s="8"/>
      <c r="C341" s="17"/>
      <c r="D341" s="17"/>
    </row>
    <row r="342" spans="2:4" hidden="1">
      <c r="B342" s="8"/>
      <c r="C342" s="17"/>
      <c r="D342" s="17"/>
    </row>
    <row r="343" spans="2:4" hidden="1">
      <c r="B343" s="8"/>
      <c r="C343" s="17"/>
      <c r="D343" s="17"/>
    </row>
    <row r="344" spans="2:4" hidden="1">
      <c r="B344" s="8"/>
      <c r="C344" s="17"/>
      <c r="D344" s="17"/>
    </row>
    <row r="345" spans="2:4" hidden="1">
      <c r="B345" s="8"/>
      <c r="C345" s="17"/>
      <c r="D345" s="17"/>
    </row>
    <row r="346" spans="2:4" hidden="1">
      <c r="B346" s="8"/>
      <c r="C346" s="17"/>
      <c r="D346" s="17"/>
    </row>
    <row r="347" spans="2:4" hidden="1">
      <c r="B347" s="8"/>
      <c r="C347" s="17"/>
      <c r="D347" s="17"/>
    </row>
    <row r="348" spans="2:4" hidden="1">
      <c r="B348" s="8"/>
      <c r="C348" s="17"/>
      <c r="D348" s="17"/>
    </row>
    <row r="349" spans="2:4" hidden="1">
      <c r="B349" s="8"/>
      <c r="C349" s="17"/>
      <c r="D349" s="17"/>
    </row>
    <row r="350" spans="2:4" hidden="1">
      <c r="B350" s="8"/>
      <c r="C350" s="17"/>
      <c r="D350" s="17"/>
    </row>
    <row r="351" spans="2:4" hidden="1">
      <c r="B351" s="8"/>
      <c r="C351" s="17"/>
      <c r="D351" s="17"/>
    </row>
    <row r="352" spans="2:4" hidden="1">
      <c r="B352" s="8"/>
      <c r="C352" s="17"/>
      <c r="D352" s="17"/>
    </row>
    <row r="353" spans="2:4" hidden="1">
      <c r="B353" s="8"/>
      <c r="C353" s="17"/>
      <c r="D353" s="17"/>
    </row>
    <row r="354" spans="2:4" hidden="1">
      <c r="B354" s="8"/>
      <c r="C354" s="17"/>
      <c r="D354" s="17"/>
    </row>
    <row r="355" spans="2:4" hidden="1">
      <c r="B355" s="8"/>
      <c r="C355" s="17"/>
      <c r="D355" s="17"/>
    </row>
    <row r="356" spans="2:4" hidden="1">
      <c r="B356" s="8"/>
      <c r="C356" s="17"/>
      <c r="D356" s="17"/>
    </row>
    <row r="357" spans="2:4" hidden="1">
      <c r="B357" s="8"/>
      <c r="C357" s="17"/>
      <c r="D357" s="17"/>
    </row>
    <row r="358" spans="2:4" hidden="1">
      <c r="B358" s="8"/>
      <c r="C358" s="17"/>
      <c r="D358" s="17"/>
    </row>
    <row r="359" spans="2:4" hidden="1">
      <c r="B359" s="8"/>
      <c r="C359" s="17"/>
      <c r="D359" s="17"/>
    </row>
    <row r="360" spans="2:4" hidden="1">
      <c r="B360" s="8"/>
      <c r="C360" s="17"/>
      <c r="D360" s="17"/>
    </row>
    <row r="361" spans="2:4" hidden="1">
      <c r="B361" s="8"/>
      <c r="C361" s="17"/>
      <c r="D361" s="17"/>
    </row>
    <row r="362" spans="2:4" hidden="1">
      <c r="B362" s="8"/>
      <c r="C362" s="17"/>
      <c r="D362" s="17"/>
    </row>
    <row r="363" spans="2:4" hidden="1">
      <c r="B363" s="8"/>
      <c r="C363" s="17"/>
      <c r="D363" s="17"/>
    </row>
    <row r="364" spans="2:4" hidden="1">
      <c r="B364" s="8"/>
      <c r="C364" s="17"/>
      <c r="D364" s="17"/>
    </row>
    <row r="365" spans="2:4" hidden="1">
      <c r="B365" s="8"/>
      <c r="C365" s="17"/>
      <c r="D365" s="17"/>
    </row>
    <row r="366" spans="2:4" hidden="1">
      <c r="B366" s="8"/>
      <c r="C366" s="17"/>
      <c r="D366" s="17"/>
    </row>
    <row r="367" spans="2:4" hidden="1">
      <c r="B367" s="8"/>
      <c r="C367" s="17"/>
      <c r="D367" s="17"/>
    </row>
    <row r="368" spans="2:4" hidden="1">
      <c r="B368" s="8"/>
      <c r="C368" s="17"/>
      <c r="D368" s="17"/>
    </row>
    <row r="369" spans="2:4" hidden="1">
      <c r="B369" s="8"/>
      <c r="C369" s="17"/>
      <c r="D369" s="17"/>
    </row>
    <row r="370" spans="2:4" hidden="1">
      <c r="B370" s="8"/>
      <c r="C370" s="17"/>
      <c r="D370" s="17"/>
    </row>
    <row r="371" spans="2:4" hidden="1">
      <c r="B371" s="8"/>
      <c r="C371" s="17"/>
      <c r="D371" s="17"/>
    </row>
    <row r="372" spans="2:4" hidden="1">
      <c r="B372" s="8"/>
      <c r="C372" s="17"/>
      <c r="D372" s="17"/>
    </row>
    <row r="373" spans="2:4" hidden="1">
      <c r="B373" s="8"/>
      <c r="C373" s="17"/>
      <c r="D373" s="17"/>
    </row>
    <row r="374" spans="2:4" hidden="1">
      <c r="B374" s="8"/>
      <c r="C374" s="17"/>
      <c r="D374" s="17"/>
    </row>
    <row r="375" spans="2:4" hidden="1">
      <c r="B375" s="8"/>
      <c r="C375" s="17"/>
      <c r="D375" s="17"/>
    </row>
    <row r="376" spans="2:4" hidden="1">
      <c r="B376" s="8"/>
      <c r="C376" s="17"/>
      <c r="D376" s="17"/>
    </row>
    <row r="377" spans="2:4" hidden="1">
      <c r="B377" s="8"/>
      <c r="C377" s="17"/>
      <c r="D377" s="17"/>
    </row>
    <row r="378" spans="2:4" hidden="1">
      <c r="B378" s="8"/>
      <c r="C378" s="17"/>
      <c r="D378" s="17"/>
    </row>
    <row r="379" spans="2:4" hidden="1">
      <c r="B379" s="8"/>
      <c r="C379" s="17"/>
      <c r="D379" s="17"/>
    </row>
    <row r="380" spans="2:4" hidden="1">
      <c r="B380" s="8"/>
      <c r="C380" s="17"/>
      <c r="D380" s="17"/>
    </row>
    <row r="381" spans="2:4" hidden="1">
      <c r="B381" s="8"/>
      <c r="C381" s="17"/>
      <c r="D381" s="17"/>
    </row>
    <row r="382" spans="2:4" hidden="1">
      <c r="B382" s="8"/>
      <c r="C382" s="17"/>
      <c r="D382" s="17"/>
    </row>
    <row r="383" spans="2:4" hidden="1">
      <c r="B383" s="8"/>
      <c r="C383" s="17"/>
      <c r="D383" s="17"/>
    </row>
    <row r="384" spans="2:4" hidden="1">
      <c r="B384" s="8"/>
      <c r="C384" s="17"/>
      <c r="D384" s="17"/>
    </row>
    <row r="385" spans="2:4" hidden="1">
      <c r="B385" s="8"/>
      <c r="C385" s="17"/>
      <c r="D385" s="17"/>
    </row>
    <row r="386" spans="2:4" hidden="1">
      <c r="B386" s="8"/>
      <c r="C386" s="17"/>
      <c r="D386" s="17"/>
    </row>
    <row r="387" spans="2:4" hidden="1">
      <c r="B387" s="8"/>
      <c r="C387" s="17"/>
      <c r="D387" s="17"/>
    </row>
    <row r="388" spans="2:4" hidden="1">
      <c r="B388" s="8"/>
      <c r="C388" s="17"/>
      <c r="D388" s="17"/>
    </row>
    <row r="389" spans="2:4" hidden="1">
      <c r="B389" s="8"/>
      <c r="C389" s="17"/>
      <c r="D389" s="17"/>
    </row>
    <row r="390" spans="2:4" hidden="1">
      <c r="B390" s="8"/>
      <c r="C390" s="17"/>
      <c r="D390" s="17"/>
    </row>
    <row r="391" spans="2:4" hidden="1">
      <c r="B391" s="8"/>
      <c r="C391" s="17"/>
      <c r="D391" s="17"/>
    </row>
    <row r="392" spans="2:4" hidden="1">
      <c r="B392" s="8"/>
      <c r="C392" s="17"/>
      <c r="D392" s="17"/>
    </row>
    <row r="393" spans="2:4" hidden="1">
      <c r="B393" s="8"/>
      <c r="C393" s="17"/>
      <c r="D393" s="17"/>
    </row>
    <row r="394" spans="2:4" hidden="1">
      <c r="B394" s="8"/>
      <c r="C394" s="17"/>
      <c r="D394" s="17"/>
    </row>
    <row r="395" spans="2:4" hidden="1">
      <c r="B395" s="8"/>
      <c r="C395" s="17"/>
      <c r="D395" s="17"/>
    </row>
    <row r="396" spans="2:4" hidden="1">
      <c r="B396" s="8"/>
      <c r="C396" s="17"/>
      <c r="D396" s="17"/>
    </row>
    <row r="397" spans="2:4" hidden="1">
      <c r="B397" s="8"/>
      <c r="C397" s="17"/>
      <c r="D397" s="17"/>
    </row>
    <row r="398" spans="2:4" hidden="1">
      <c r="B398" s="8"/>
      <c r="C398" s="17"/>
      <c r="D398" s="17"/>
    </row>
    <row r="399" spans="2:4" hidden="1">
      <c r="B399" s="8"/>
      <c r="C399" s="17"/>
      <c r="D399" s="17"/>
    </row>
    <row r="400" spans="2:4" hidden="1">
      <c r="B400" s="8"/>
      <c r="C400" s="17"/>
      <c r="D400" s="17"/>
    </row>
    <row r="401" spans="2:4" hidden="1">
      <c r="B401" s="8"/>
      <c r="C401" s="17"/>
      <c r="D401" s="17"/>
    </row>
    <row r="402" spans="2:4" hidden="1">
      <c r="B402" s="8"/>
      <c r="C402" s="17"/>
      <c r="D402" s="17"/>
    </row>
    <row r="403" spans="2:4" hidden="1">
      <c r="B403" s="8"/>
      <c r="C403" s="17"/>
      <c r="D403" s="17"/>
    </row>
    <row r="404" spans="2:4" hidden="1">
      <c r="B404" s="8"/>
      <c r="C404" s="17"/>
      <c r="D404" s="17"/>
    </row>
    <row r="405" spans="2:4" hidden="1">
      <c r="B405" s="8"/>
      <c r="C405" s="17"/>
      <c r="D405" s="17"/>
    </row>
    <row r="406" spans="2:4" hidden="1">
      <c r="B406" s="8"/>
      <c r="C406" s="17"/>
      <c r="D406" s="17"/>
    </row>
    <row r="407" spans="2:4" hidden="1">
      <c r="B407" s="8"/>
      <c r="C407" s="17"/>
      <c r="D407" s="17"/>
    </row>
    <row r="408" spans="2:4" hidden="1">
      <c r="B408" s="8"/>
      <c r="C408" s="17"/>
      <c r="D408" s="17"/>
    </row>
    <row r="409" spans="2:4" hidden="1">
      <c r="B409" s="8"/>
      <c r="C409" s="17"/>
      <c r="D409" s="17"/>
    </row>
    <row r="410" spans="2:4" hidden="1">
      <c r="B410" s="8"/>
      <c r="C410" s="17"/>
      <c r="D410" s="17"/>
    </row>
    <row r="411" spans="2:4" hidden="1">
      <c r="B411" s="8"/>
      <c r="C411" s="17"/>
      <c r="D411" s="17"/>
    </row>
    <row r="412" spans="2:4" hidden="1">
      <c r="B412" s="8"/>
      <c r="C412" s="17"/>
      <c r="D412" s="17"/>
    </row>
    <row r="413" spans="2:4" hidden="1">
      <c r="B413" s="8"/>
      <c r="C413" s="17"/>
      <c r="D413" s="17"/>
    </row>
    <row r="414" spans="2:4" hidden="1">
      <c r="B414" s="8"/>
      <c r="C414" s="17"/>
      <c r="D414" s="17"/>
    </row>
    <row r="415" spans="2:4" hidden="1">
      <c r="B415" s="8"/>
      <c r="C415" s="17"/>
      <c r="D415" s="17"/>
    </row>
    <row r="416" spans="2:4" hidden="1">
      <c r="B416" s="8"/>
      <c r="C416" s="17"/>
      <c r="D416" s="17"/>
    </row>
    <row r="417" spans="2:4" hidden="1">
      <c r="B417" s="8"/>
      <c r="C417" s="17"/>
      <c r="D417" s="17"/>
    </row>
    <row r="418" spans="2:4" hidden="1">
      <c r="B418" s="8"/>
      <c r="C418" s="17"/>
      <c r="D418" s="17"/>
    </row>
    <row r="419" spans="2:4" hidden="1">
      <c r="B419" s="8"/>
      <c r="C419" s="17"/>
      <c r="D419" s="17"/>
    </row>
    <row r="420" spans="2:4" hidden="1">
      <c r="B420" s="8"/>
      <c r="C420" s="17"/>
      <c r="D420" s="17"/>
    </row>
    <row r="421" spans="2:4" hidden="1">
      <c r="B421" s="8"/>
      <c r="C421" s="17"/>
      <c r="D421" s="17"/>
    </row>
    <row r="422" spans="2:4" hidden="1">
      <c r="B422" s="8"/>
      <c r="C422" s="17"/>
      <c r="D422" s="17"/>
    </row>
    <row r="423" spans="2:4" hidden="1">
      <c r="B423" s="8"/>
      <c r="C423" s="17"/>
      <c r="D423" s="17"/>
    </row>
    <row r="424" spans="2:4" hidden="1">
      <c r="B424" s="8"/>
      <c r="C424" s="17"/>
      <c r="D424" s="17"/>
    </row>
    <row r="425" spans="2:4" hidden="1">
      <c r="B425" s="8"/>
      <c r="C425" s="17"/>
      <c r="D425" s="17"/>
    </row>
    <row r="426" spans="2:4" hidden="1">
      <c r="B426" s="8"/>
      <c r="C426" s="17"/>
      <c r="D426" s="17"/>
    </row>
    <row r="427" spans="2:4" hidden="1">
      <c r="B427" s="8"/>
      <c r="C427" s="17"/>
      <c r="D427" s="17"/>
    </row>
    <row r="428" spans="2:4" hidden="1">
      <c r="B428" s="8"/>
      <c r="C428" s="17"/>
      <c r="D428" s="17"/>
    </row>
    <row r="429" spans="2:4" hidden="1">
      <c r="B429" s="8"/>
      <c r="C429" s="17"/>
      <c r="D429" s="17"/>
    </row>
    <row r="430" spans="2:4" hidden="1">
      <c r="B430" s="8"/>
      <c r="C430" s="17"/>
      <c r="D430" s="17"/>
    </row>
    <row r="431" spans="2:4" hidden="1">
      <c r="B431" s="8"/>
      <c r="C431" s="17"/>
      <c r="D431" s="17"/>
    </row>
    <row r="432" spans="2:4" hidden="1">
      <c r="B432" s="8"/>
      <c r="C432" s="17"/>
      <c r="D432" s="17"/>
    </row>
    <row r="433" spans="2:4" hidden="1">
      <c r="B433" s="8"/>
      <c r="C433" s="17"/>
      <c r="D433" s="17"/>
    </row>
    <row r="434" spans="2:4" hidden="1">
      <c r="B434" s="8"/>
      <c r="C434" s="17"/>
      <c r="D434" s="17"/>
    </row>
    <row r="435" spans="2:4" hidden="1">
      <c r="B435" s="8"/>
      <c r="C435" s="17"/>
      <c r="D435" s="17"/>
    </row>
    <row r="436" spans="2:4" hidden="1">
      <c r="B436" s="8"/>
      <c r="C436" s="17"/>
      <c r="D436" s="17"/>
    </row>
    <row r="437" spans="2:4" hidden="1">
      <c r="B437" s="8"/>
      <c r="C437" s="17"/>
      <c r="D437" s="17"/>
    </row>
    <row r="438" spans="2:4" hidden="1">
      <c r="B438" s="8"/>
      <c r="C438" s="17"/>
      <c r="D438" s="17"/>
    </row>
    <row r="439" spans="2:4" hidden="1">
      <c r="B439" s="8"/>
      <c r="C439" s="17"/>
      <c r="D439" s="17"/>
    </row>
    <row r="440" spans="2:4" hidden="1">
      <c r="B440" s="8"/>
      <c r="C440" s="17"/>
      <c r="D440" s="17"/>
    </row>
    <row r="441" spans="2:4">
      <c r="C441" s="17"/>
      <c r="D441" s="17"/>
    </row>
    <row r="442" spans="2:4">
      <c r="C442" s="17"/>
      <c r="D442" s="17"/>
    </row>
    <row r="443" spans="2:4">
      <c r="C443" s="17"/>
      <c r="D443" s="17"/>
    </row>
    <row r="444" spans="2:4">
      <c r="C444" s="17"/>
      <c r="D444" s="17"/>
    </row>
    <row r="445" spans="2:4">
      <c r="C445" s="17"/>
      <c r="D445" s="17"/>
    </row>
    <row r="446" spans="2:4">
      <c r="C446" s="17"/>
      <c r="D446" s="17"/>
    </row>
    <row r="447" spans="2:4">
      <c r="C447" s="17"/>
      <c r="D447" s="17"/>
    </row>
    <row r="448" spans="2:4">
      <c r="C448" s="17"/>
      <c r="D448" s="17"/>
    </row>
    <row r="449" spans="3:4">
      <c r="C449" s="17"/>
      <c r="D449" s="17"/>
    </row>
    <row r="450" spans="3:4">
      <c r="C450" s="17"/>
      <c r="D450" s="17"/>
    </row>
    <row r="451" spans="3:4">
      <c r="C451" s="17"/>
      <c r="D451" s="17"/>
    </row>
    <row r="452" spans="3:4">
      <c r="C452" s="17"/>
      <c r="D452" s="17"/>
    </row>
    <row r="453" spans="3:4">
      <c r="C453" s="17"/>
      <c r="D453" s="17"/>
    </row>
    <row r="454" spans="3:4">
      <c r="C454" s="17"/>
      <c r="D454" s="17"/>
    </row>
    <row r="455" spans="3:4">
      <c r="C455" s="17"/>
      <c r="D455" s="17"/>
    </row>
    <row r="456" spans="3:4">
      <c r="C456" s="17"/>
      <c r="D456" s="17"/>
    </row>
    <row r="457" spans="3:4">
      <c r="C457" s="17"/>
      <c r="D457" s="17"/>
    </row>
    <row r="458" spans="3:4">
      <c r="C458" s="17"/>
      <c r="D458" s="17"/>
    </row>
    <row r="459" spans="3:4">
      <c r="C459" s="17"/>
      <c r="D459" s="17"/>
    </row>
    <row r="460" spans="3:4">
      <c r="C460" s="17"/>
      <c r="D460" s="17"/>
    </row>
    <row r="461" spans="3:4">
      <c r="C461" s="17"/>
      <c r="D461" s="17"/>
    </row>
    <row r="462" spans="3:4">
      <c r="C462" s="17"/>
      <c r="D462" s="17"/>
    </row>
    <row r="463" spans="3:4">
      <c r="C463" s="17"/>
      <c r="D463" s="17"/>
    </row>
    <row r="464" spans="3:4">
      <c r="C464" s="17"/>
      <c r="D464" s="17"/>
    </row>
    <row r="465" spans="3:4">
      <c r="C465" s="17"/>
      <c r="D465" s="17"/>
    </row>
    <row r="466" spans="3:4">
      <c r="C466" s="17"/>
      <c r="D466" s="17"/>
    </row>
    <row r="467" spans="3:4">
      <c r="C467" s="17"/>
      <c r="D467" s="17"/>
    </row>
    <row r="468" spans="3:4">
      <c r="C468" s="17"/>
      <c r="D468" s="17"/>
    </row>
    <row r="469" spans="3:4">
      <c r="C469" s="17"/>
      <c r="D469" s="17"/>
    </row>
    <row r="470" spans="3:4">
      <c r="C470" s="17"/>
      <c r="D470" s="17"/>
    </row>
    <row r="471" spans="3:4">
      <c r="C471" s="17"/>
      <c r="D471" s="17"/>
    </row>
    <row r="472" spans="3:4">
      <c r="C472" s="17"/>
      <c r="D472" s="17"/>
    </row>
    <row r="473" spans="3:4">
      <c r="C473" s="17"/>
      <c r="D473" s="17"/>
    </row>
    <row r="474" spans="3:4">
      <c r="C474" s="17"/>
      <c r="D474" s="17"/>
    </row>
    <row r="475" spans="3:4">
      <c r="C475" s="17"/>
      <c r="D475" s="17"/>
    </row>
    <row r="476" spans="3:4">
      <c r="C476" s="17"/>
      <c r="D476" s="17"/>
    </row>
    <row r="477" spans="3:4">
      <c r="C477" s="17"/>
      <c r="D477" s="17"/>
    </row>
    <row r="478" spans="3:4">
      <c r="C478" s="17"/>
      <c r="D478" s="17"/>
    </row>
    <row r="479" spans="3:4">
      <c r="C479" s="17"/>
      <c r="D479" s="17"/>
    </row>
    <row r="480" spans="3:4">
      <c r="C480" s="17"/>
      <c r="D480" s="17"/>
    </row>
    <row r="481" spans="3:4">
      <c r="C481" s="17"/>
      <c r="D481" s="17"/>
    </row>
    <row r="482" spans="3:4">
      <c r="C482" s="17"/>
      <c r="D482" s="17"/>
    </row>
    <row r="483" spans="3:4">
      <c r="C483" s="17"/>
      <c r="D483" s="17"/>
    </row>
    <row r="484" spans="3:4">
      <c r="C484" s="17"/>
      <c r="D484" s="17"/>
    </row>
    <row r="485" spans="3:4">
      <c r="C485" s="17"/>
      <c r="D485" s="17"/>
    </row>
    <row r="486" spans="3:4">
      <c r="C486" s="17"/>
      <c r="D486" s="17"/>
    </row>
    <row r="487" spans="3:4">
      <c r="C487" s="17"/>
      <c r="D487" s="17"/>
    </row>
    <row r="488" spans="3:4">
      <c r="C488" s="17"/>
      <c r="D488" s="17"/>
    </row>
    <row r="489" spans="3:4">
      <c r="C489" s="17"/>
      <c r="D489" s="17"/>
    </row>
    <row r="490" spans="3:4">
      <c r="C490" s="17"/>
      <c r="D490" s="17"/>
    </row>
    <row r="491" spans="3:4">
      <c r="C491" s="17"/>
      <c r="D491" s="17"/>
    </row>
    <row r="492" spans="3:4">
      <c r="C492" s="17"/>
      <c r="D492" s="17"/>
    </row>
    <row r="493" spans="3:4">
      <c r="C493" s="17"/>
      <c r="D493" s="17"/>
    </row>
    <row r="494" spans="3:4">
      <c r="C494" s="17"/>
      <c r="D494" s="17"/>
    </row>
    <row r="495" spans="3:4">
      <c r="C495" s="17"/>
      <c r="D495" s="17"/>
    </row>
    <row r="496" spans="3:4">
      <c r="C496" s="17"/>
      <c r="D496" s="17"/>
    </row>
    <row r="497" spans="3:4">
      <c r="C497" s="17"/>
      <c r="D497" s="17"/>
    </row>
    <row r="498" spans="3:4">
      <c r="C498" s="17"/>
      <c r="D498" s="17"/>
    </row>
    <row r="499" spans="3:4">
      <c r="C499" s="17"/>
      <c r="D499" s="17"/>
    </row>
    <row r="500" spans="3:4">
      <c r="C500" s="17"/>
      <c r="D500" s="17"/>
    </row>
    <row r="501" spans="3:4">
      <c r="C501" s="17"/>
      <c r="D501" s="17"/>
    </row>
    <row r="502" spans="3:4">
      <c r="C502" s="17"/>
      <c r="D502" s="17"/>
    </row>
    <row r="503" spans="3:4">
      <c r="C503" s="17"/>
      <c r="D503" s="17"/>
    </row>
    <row r="504" spans="3:4">
      <c r="C504" s="17"/>
      <c r="D504" s="17"/>
    </row>
    <row r="505" spans="3:4">
      <c r="C505" s="17"/>
      <c r="D505" s="17"/>
    </row>
    <row r="506" spans="3:4">
      <c r="C506" s="17"/>
      <c r="D506" s="17"/>
    </row>
    <row r="507" spans="3:4">
      <c r="C507" s="17"/>
      <c r="D507" s="17"/>
    </row>
    <row r="508" spans="3:4">
      <c r="C508" s="17"/>
      <c r="D508" s="17"/>
    </row>
    <row r="509" spans="3:4">
      <c r="C509" s="17"/>
      <c r="D509" s="17"/>
    </row>
    <row r="510" spans="3:4">
      <c r="C510" s="17"/>
      <c r="D510" s="17"/>
    </row>
    <row r="511" spans="3:4">
      <c r="C511" s="17"/>
      <c r="D511" s="17"/>
    </row>
    <row r="512" spans="3:4">
      <c r="C512" s="17"/>
      <c r="D512" s="17"/>
    </row>
    <row r="513" spans="3:4">
      <c r="C513" s="17"/>
      <c r="D513" s="17"/>
    </row>
    <row r="514" spans="3:4">
      <c r="C514" s="17"/>
      <c r="D514" s="17"/>
    </row>
    <row r="515" spans="3:4">
      <c r="C515" s="17"/>
      <c r="D515" s="17"/>
    </row>
    <row r="516" spans="3:4">
      <c r="C516" s="17"/>
      <c r="D516" s="17"/>
    </row>
    <row r="517" spans="3:4">
      <c r="C517" s="17"/>
      <c r="D517" s="17"/>
    </row>
    <row r="518" spans="3:4">
      <c r="C518" s="17"/>
      <c r="D518" s="17"/>
    </row>
    <row r="519" spans="3:4">
      <c r="C519" s="17"/>
      <c r="D519" s="17"/>
    </row>
    <row r="520" spans="3:4">
      <c r="C520" s="17"/>
      <c r="D520" s="17"/>
    </row>
    <row r="521" spans="3:4">
      <c r="C521" s="17"/>
      <c r="D521" s="17"/>
    </row>
    <row r="522" spans="3:4">
      <c r="C522" s="17"/>
      <c r="D522" s="17"/>
    </row>
    <row r="523" spans="3:4">
      <c r="C523" s="17"/>
      <c r="D523" s="17"/>
    </row>
    <row r="524" spans="3:4">
      <c r="C524" s="17"/>
      <c r="D524" s="17"/>
    </row>
    <row r="525" spans="3:4">
      <c r="C525" s="17"/>
      <c r="D525" s="17"/>
    </row>
    <row r="526" spans="3:4">
      <c r="C526" s="17"/>
      <c r="D526" s="17"/>
    </row>
    <row r="527" spans="3:4">
      <c r="C527" s="17"/>
      <c r="D527" s="17"/>
    </row>
    <row r="528" spans="3:4">
      <c r="C528" s="17"/>
      <c r="D528" s="17"/>
    </row>
    <row r="529" spans="3:4">
      <c r="C529" s="17"/>
      <c r="D529" s="17"/>
    </row>
    <row r="530" spans="3:4">
      <c r="C530" s="17"/>
      <c r="D530" s="17"/>
    </row>
    <row r="531" spans="3:4">
      <c r="C531" s="17"/>
      <c r="D531" s="17"/>
    </row>
    <row r="532" spans="3:4">
      <c r="C532" s="17"/>
      <c r="D532" s="17"/>
    </row>
    <row r="533" spans="3:4">
      <c r="C533" s="17"/>
      <c r="D533" s="17"/>
    </row>
    <row r="534" spans="3:4">
      <c r="C534" s="17"/>
      <c r="D534" s="17"/>
    </row>
    <row r="535" spans="3:4">
      <c r="C535" s="17"/>
      <c r="D535" s="17"/>
    </row>
    <row r="536" spans="3:4">
      <c r="C536" s="17"/>
      <c r="D536" s="17"/>
    </row>
    <row r="537" spans="3:4">
      <c r="C537" s="17"/>
      <c r="D537" s="17"/>
    </row>
    <row r="538" spans="3:4">
      <c r="C538" s="17"/>
      <c r="D538" s="17"/>
    </row>
    <row r="539" spans="3:4">
      <c r="C539" s="17"/>
      <c r="D539" s="17"/>
    </row>
    <row r="540" spans="3:4">
      <c r="C540" s="17"/>
      <c r="D540" s="17"/>
    </row>
    <row r="541" spans="3:4">
      <c r="C541" s="17"/>
      <c r="D541" s="17"/>
    </row>
    <row r="542" spans="3:4">
      <c r="C542" s="17"/>
      <c r="D542" s="17"/>
    </row>
    <row r="543" spans="3:4">
      <c r="C543" s="17"/>
      <c r="D543" s="17"/>
    </row>
    <row r="544" spans="3:4">
      <c r="C544" s="17"/>
      <c r="D544" s="17"/>
    </row>
    <row r="545" spans="3:4">
      <c r="C545" s="17"/>
      <c r="D545" s="17"/>
    </row>
    <row r="546" spans="3:4">
      <c r="C546" s="17"/>
      <c r="D546" s="17"/>
    </row>
    <row r="547" spans="3:4">
      <c r="C547" s="17"/>
      <c r="D547" s="17"/>
    </row>
    <row r="548" spans="3:4">
      <c r="C548" s="17"/>
      <c r="D548" s="17"/>
    </row>
    <row r="549" spans="3:4">
      <c r="C549" s="17"/>
      <c r="D549" s="17"/>
    </row>
    <row r="550" spans="3:4">
      <c r="C550" s="17"/>
      <c r="D550" s="17"/>
    </row>
    <row r="551" spans="3:4">
      <c r="C551" s="17"/>
      <c r="D551" s="17"/>
    </row>
    <row r="552" spans="3:4">
      <c r="C552" s="17"/>
      <c r="D552" s="17"/>
    </row>
    <row r="553" spans="3:4">
      <c r="C553" s="17"/>
      <c r="D553" s="17"/>
    </row>
    <row r="554" spans="3:4">
      <c r="C554" s="17"/>
      <c r="D554" s="17"/>
    </row>
    <row r="555" spans="3:4">
      <c r="C555" s="17"/>
      <c r="D555" s="17"/>
    </row>
    <row r="556" spans="3:4">
      <c r="C556" s="17"/>
      <c r="D556" s="17"/>
    </row>
    <row r="557" spans="3:4">
      <c r="C557" s="17"/>
      <c r="D557" s="17"/>
    </row>
    <row r="558" spans="3:4">
      <c r="C558" s="17"/>
      <c r="D558" s="17"/>
    </row>
    <row r="559" spans="3:4">
      <c r="C559" s="17"/>
      <c r="D559" s="17"/>
    </row>
    <row r="560" spans="3:4">
      <c r="C560" s="17"/>
      <c r="D560" s="17"/>
    </row>
    <row r="561" spans="3:4">
      <c r="C561" s="17"/>
      <c r="D561" s="17"/>
    </row>
    <row r="562" spans="3:4">
      <c r="C562" s="17"/>
      <c r="D562" s="17"/>
    </row>
    <row r="563" spans="3:4">
      <c r="C563" s="17"/>
      <c r="D563" s="17"/>
    </row>
    <row r="564" spans="3:4">
      <c r="C564" s="17"/>
      <c r="D564" s="17"/>
    </row>
    <row r="565" spans="3:4">
      <c r="C565" s="17"/>
      <c r="D565" s="17"/>
    </row>
    <row r="566" spans="3:4">
      <c r="C566" s="17"/>
      <c r="D566" s="17"/>
    </row>
    <row r="567" spans="3:4">
      <c r="C567" s="17"/>
      <c r="D567" s="17"/>
    </row>
    <row r="568" spans="3:4">
      <c r="C568" s="17"/>
      <c r="D568" s="17"/>
    </row>
    <row r="569" spans="3:4">
      <c r="C569" s="17"/>
      <c r="D569" s="17"/>
    </row>
    <row r="570" spans="3:4">
      <c r="C570" s="17"/>
      <c r="D570" s="17"/>
    </row>
    <row r="571" spans="3:4">
      <c r="C571" s="17"/>
      <c r="D571" s="17"/>
    </row>
    <row r="572" spans="3:4">
      <c r="C572" s="17"/>
      <c r="D572" s="17"/>
    </row>
    <row r="573" spans="3:4">
      <c r="C573" s="17"/>
      <c r="D573" s="17"/>
    </row>
    <row r="574" spans="3:4">
      <c r="C574" s="17"/>
      <c r="D574" s="17"/>
    </row>
    <row r="575" spans="3:4">
      <c r="C575" s="17"/>
      <c r="D575" s="17"/>
    </row>
    <row r="576" spans="3:4">
      <c r="C576" s="17"/>
      <c r="D576" s="17"/>
    </row>
    <row r="577" spans="3:4">
      <c r="C577" s="17"/>
      <c r="D577" s="17"/>
    </row>
    <row r="578" spans="3:4">
      <c r="C578" s="17"/>
      <c r="D578" s="17"/>
    </row>
    <row r="579" spans="3:4">
      <c r="C579" s="17"/>
      <c r="D579" s="17"/>
    </row>
    <row r="580" spans="3:4">
      <c r="C580" s="17"/>
      <c r="D580" s="17"/>
    </row>
    <row r="581" spans="3:4">
      <c r="C581" s="17"/>
      <c r="D581" s="17"/>
    </row>
    <row r="582" spans="3:4">
      <c r="C582" s="17"/>
      <c r="D582" s="17"/>
    </row>
    <row r="583" spans="3:4">
      <c r="C583" s="17"/>
      <c r="D583" s="17"/>
    </row>
    <row r="584" spans="3:4">
      <c r="C584" s="17"/>
      <c r="D584" s="17"/>
    </row>
    <row r="585" spans="3:4">
      <c r="C585" s="17"/>
      <c r="D585" s="17"/>
    </row>
    <row r="586" spans="3:4">
      <c r="C586" s="17"/>
      <c r="D586" s="17"/>
    </row>
    <row r="587" spans="3:4">
      <c r="C587" s="17"/>
      <c r="D587" s="17"/>
    </row>
    <row r="588" spans="3:4">
      <c r="C588" s="17"/>
      <c r="D588" s="17"/>
    </row>
    <row r="589" spans="3:4">
      <c r="C589" s="17"/>
      <c r="D589" s="17"/>
    </row>
    <row r="590" spans="3:4">
      <c r="C590" s="17"/>
      <c r="D590" s="17"/>
    </row>
    <row r="591" spans="3:4">
      <c r="C591" s="17"/>
      <c r="D591" s="17"/>
    </row>
    <row r="592" spans="3:4">
      <c r="C592" s="17"/>
      <c r="D592" s="17"/>
    </row>
    <row r="593" spans="3:4">
      <c r="C593" s="17"/>
      <c r="D593" s="17"/>
    </row>
    <row r="594" spans="3:4">
      <c r="C594" s="17"/>
      <c r="D594" s="17"/>
    </row>
    <row r="595" spans="3:4">
      <c r="C595" s="17"/>
      <c r="D595" s="17"/>
    </row>
    <row r="596" spans="3:4">
      <c r="C596" s="17"/>
      <c r="D596" s="17"/>
    </row>
    <row r="597" spans="3:4">
      <c r="C597" s="17"/>
      <c r="D597" s="17"/>
    </row>
    <row r="598" spans="3:4">
      <c r="C598" s="17"/>
      <c r="D598" s="17"/>
    </row>
    <row r="599" spans="3:4">
      <c r="C599" s="17"/>
      <c r="D599" s="17"/>
    </row>
    <row r="600" spans="3:4">
      <c r="C600" s="17"/>
      <c r="D600" s="17"/>
    </row>
    <row r="601" spans="3:4">
      <c r="C601" s="17"/>
      <c r="D601" s="17"/>
    </row>
    <row r="602" spans="3:4">
      <c r="C602" s="17"/>
      <c r="D602" s="17"/>
    </row>
    <row r="603" spans="3:4">
      <c r="C603" s="17"/>
      <c r="D603" s="17"/>
    </row>
    <row r="604" spans="3:4">
      <c r="C604" s="17"/>
      <c r="D604" s="17"/>
    </row>
    <row r="605" spans="3:4">
      <c r="C605" s="17"/>
      <c r="D605" s="17"/>
    </row>
    <row r="606" spans="3:4">
      <c r="C606" s="17"/>
      <c r="D606" s="17"/>
    </row>
    <row r="607" spans="3:4">
      <c r="C607" s="17"/>
      <c r="D607" s="17"/>
    </row>
    <row r="608" spans="3:4">
      <c r="C608" s="17"/>
      <c r="D608" s="17"/>
    </row>
    <row r="609" spans="3:4">
      <c r="C609" s="17"/>
      <c r="D609" s="17"/>
    </row>
    <row r="610" spans="3:4">
      <c r="C610" s="17"/>
      <c r="D610" s="17"/>
    </row>
    <row r="611" spans="3:4">
      <c r="C611" s="17"/>
      <c r="D611" s="17"/>
    </row>
    <row r="612" spans="3:4">
      <c r="C612" s="17"/>
      <c r="D612" s="17"/>
    </row>
    <row r="613" spans="3:4">
      <c r="C613" s="17"/>
      <c r="D613" s="17"/>
    </row>
    <row r="614" spans="3:4">
      <c r="C614" s="17"/>
      <c r="D614" s="17"/>
    </row>
    <row r="615" spans="3:4">
      <c r="C615" s="17"/>
      <c r="D615" s="17"/>
    </row>
    <row r="616" spans="3:4">
      <c r="C616" s="17"/>
      <c r="D616" s="17"/>
    </row>
    <row r="617" spans="3:4">
      <c r="C617" s="17"/>
      <c r="D617" s="17"/>
    </row>
    <row r="618" spans="3:4">
      <c r="C618" s="17"/>
    </row>
  </sheetData>
  <dataConsolidate/>
  <mergeCells count="4">
    <mergeCell ref="C1:J1"/>
    <mergeCell ref="C2:J2"/>
    <mergeCell ref="C3:J3"/>
    <mergeCell ref="C4:J4"/>
  </mergeCells>
  <conditionalFormatting sqref="J63:P63">
    <cfRule type="cellIs" dxfId="76" priority="612" stopIfTrue="1" operator="lessThan">
      <formula>J46/J43</formula>
    </cfRule>
  </conditionalFormatting>
  <conditionalFormatting sqref="J64:K64">
    <cfRule type="cellIs" dxfId="75" priority="613" stopIfTrue="1" operator="lessThan">
      <formula>J51/F10</formula>
    </cfRule>
  </conditionalFormatting>
  <conditionalFormatting sqref="P15:Q15">
    <cfRule type="expression" dxfId="74" priority="614" stopIfTrue="1">
      <formula>P$59=$J$60</formula>
    </cfRule>
  </conditionalFormatting>
  <conditionalFormatting sqref="J67:P72">
    <cfRule type="cellIs" dxfId="73" priority="623" stopIfTrue="1" operator="greaterThan">
      <formula>$J$43</formula>
    </cfRule>
  </conditionalFormatting>
  <conditionalFormatting sqref="A28 B29:D33">
    <cfRule type="expression" dxfId="72" priority="625" stopIfTrue="1">
      <formula>$J$13="No"</formula>
    </cfRule>
  </conditionalFormatting>
  <conditionalFormatting sqref="J29:J32">
    <cfRule type="expression" dxfId="71" priority="626" stopIfTrue="1">
      <formula>$J$13="No"</formula>
    </cfRule>
  </conditionalFormatting>
  <conditionalFormatting sqref="J33">
    <cfRule type="expression" dxfId="70" priority="627" stopIfTrue="1">
      <formula>$J$13="No"</formula>
    </cfRule>
  </conditionalFormatting>
  <conditionalFormatting sqref="Q46">
    <cfRule type="cellIs" dxfId="69" priority="137" stopIfTrue="1" operator="lessThanOrEqual">
      <formula>Q$66</formula>
    </cfRule>
  </conditionalFormatting>
  <conditionalFormatting sqref="Q27">
    <cfRule type="expression" dxfId="68" priority="138" stopIfTrue="1">
      <formula>Q21=""</formula>
    </cfRule>
    <cfRule type="expression" dxfId="67" priority="139" stopIfTrue="1">
      <formula>Q21=" "</formula>
    </cfRule>
  </conditionalFormatting>
  <conditionalFormatting sqref="Q62">
    <cfRule type="expression" dxfId="66" priority="140" stopIfTrue="1">
      <formula>Q62&lt;$J46/$J43</formula>
    </cfRule>
    <cfRule type="cellIs" dxfId="65" priority="141" stopIfTrue="1" operator="equal">
      <formula>$J$63</formula>
    </cfRule>
  </conditionalFormatting>
  <conditionalFormatting sqref="Q56">
    <cfRule type="cellIs" dxfId="64" priority="145" stopIfTrue="1" operator="greaterThan">
      <formula>1</formula>
    </cfRule>
  </conditionalFormatting>
  <conditionalFormatting sqref="Q22">
    <cfRule type="expression" dxfId="63" priority="133" stopIfTrue="1">
      <formula>Q21=" "</formula>
    </cfRule>
    <cfRule type="expression" dxfId="62" priority="134" stopIfTrue="1">
      <formula>Q21="Dual Fan Dual Duct"</formula>
    </cfRule>
    <cfRule type="expression" dxfId="61" priority="135" stopIfTrue="1">
      <formula>Q21=""</formula>
    </cfRule>
  </conditionalFormatting>
  <conditionalFormatting sqref="P46">
    <cfRule type="cellIs" dxfId="60" priority="71" stopIfTrue="1" operator="lessThanOrEqual">
      <formula>P$66</formula>
    </cfRule>
  </conditionalFormatting>
  <conditionalFormatting sqref="P27">
    <cfRule type="expression" dxfId="59" priority="72" stopIfTrue="1">
      <formula>P21=""</formula>
    </cfRule>
    <cfRule type="expression" dxfId="58" priority="73" stopIfTrue="1">
      <formula>P21=" "</formula>
    </cfRule>
  </conditionalFormatting>
  <conditionalFormatting sqref="P22">
    <cfRule type="expression" dxfId="57" priority="74" stopIfTrue="1">
      <formula>P21=" "</formula>
    </cfRule>
    <cfRule type="expression" dxfId="56" priority="75" stopIfTrue="1">
      <formula>P21="Dual Fan Dual Duct"</formula>
    </cfRule>
    <cfRule type="expression" dxfId="55" priority="76" stopIfTrue="1">
      <formula>P21=""</formula>
    </cfRule>
  </conditionalFormatting>
  <conditionalFormatting sqref="P56">
    <cfRule type="cellIs" dxfId="54" priority="77" stopIfTrue="1" operator="greaterThan">
      <formula>1</formula>
    </cfRule>
  </conditionalFormatting>
  <conditionalFormatting sqref="B194:B440">
    <cfRule type="expression" dxfId="53" priority="66" stopIfTrue="1">
      <formula>B$59=$J$60</formula>
    </cfRule>
  </conditionalFormatting>
  <conditionalFormatting sqref="B192:B193">
    <cfRule type="expression" dxfId="52" priority="65" stopIfTrue="1">
      <formula>B$59=$J$60</formula>
    </cfRule>
  </conditionalFormatting>
  <conditionalFormatting sqref="B22">
    <cfRule type="expression" dxfId="51" priority="802" stopIfTrue="1">
      <formula>COUNTIF(Q21:Q21,"Induction Terminal Unit")+COUNTIF(Q21:Q21,"Transfer Fan")&gt;0</formula>
    </cfRule>
  </conditionalFormatting>
  <conditionalFormatting sqref="C22">
    <cfRule type="expression" dxfId="50" priority="803" stopIfTrue="1">
      <formula>COUNTIF(Q21:Q21,"Induction Terminal Unit")+COUNTIF(Q21:Q21,"Transfer Fan")&gt;0</formula>
    </cfRule>
  </conditionalFormatting>
  <conditionalFormatting sqref="C27">
    <cfRule type="expression" dxfId="49" priority="804" stopIfTrue="1">
      <formula>COUNTIF(Q21:Q21,"Induction Terminal Unit")+COUNTIF(Q21:Q21,"Dual Fan Dual Duct")+COUNTIF(Q21:Q21,"Transfer Fan")&gt;0</formula>
    </cfRule>
  </conditionalFormatting>
  <conditionalFormatting sqref="B27">
    <cfRule type="expression" dxfId="48" priority="805" stopIfTrue="1">
      <formula>COUNTIF(Q21:Q21,"Induction Terminal Unit")+COUNTIF(Q21:Q21,"Dual Fan Dual Duct")+COUNTIF(Q21:Q21,"Transfer Fan")&gt;0</formula>
    </cfRule>
  </conditionalFormatting>
  <conditionalFormatting sqref="P64">
    <cfRule type="cellIs" dxfId="47" priority="816" stopIfTrue="1" operator="lessThan">
      <formula>P51/G10</formula>
    </cfRule>
  </conditionalFormatting>
  <conditionalFormatting sqref="O15">
    <cfRule type="expression" dxfId="46" priority="33" stopIfTrue="1">
      <formula>O$59=$J$60</formula>
    </cfRule>
  </conditionalFormatting>
  <conditionalFormatting sqref="O46">
    <cfRule type="cellIs" dxfId="45" priority="34" stopIfTrue="1" operator="lessThanOrEqual">
      <formula>O$66</formula>
    </cfRule>
  </conditionalFormatting>
  <conditionalFormatting sqref="O27">
    <cfRule type="expression" dxfId="44" priority="35" stopIfTrue="1">
      <formula>O21=""</formula>
    </cfRule>
    <cfRule type="expression" dxfId="43" priority="36" stopIfTrue="1">
      <formula>O21=" "</formula>
    </cfRule>
  </conditionalFormatting>
  <conditionalFormatting sqref="O22">
    <cfRule type="expression" dxfId="42" priority="37" stopIfTrue="1">
      <formula>O21=" "</formula>
    </cfRule>
    <cfRule type="expression" dxfId="41" priority="38" stopIfTrue="1">
      <formula>O21="Dual Fan Dual Duct"</formula>
    </cfRule>
    <cfRule type="expression" dxfId="40" priority="39" stopIfTrue="1">
      <formula>O21=""</formula>
    </cfRule>
  </conditionalFormatting>
  <conditionalFormatting sqref="O56">
    <cfRule type="cellIs" dxfId="39" priority="40" stopIfTrue="1" operator="greaterThan">
      <formula>1</formula>
    </cfRule>
  </conditionalFormatting>
  <conditionalFormatting sqref="I24">
    <cfRule type="expression" dxfId="38" priority="823" stopIfTrue="1">
      <formula>OR($F$8&lt;&gt;$R$19,$F$9&lt;&gt;$R$20)</formula>
    </cfRule>
  </conditionalFormatting>
  <conditionalFormatting sqref="H8">
    <cfRule type="expression" dxfId="37" priority="824" stopIfTrue="1">
      <formula>$F$8&lt;&gt;$R$19</formula>
    </cfRule>
  </conditionalFormatting>
  <conditionalFormatting sqref="H9">
    <cfRule type="expression" dxfId="36" priority="825" stopIfTrue="1">
      <formula>$F$9&lt;&gt;$R$20</formula>
    </cfRule>
  </conditionalFormatting>
  <conditionalFormatting sqref="O64">
    <cfRule type="cellIs" dxfId="35" priority="827" stopIfTrue="1" operator="lessThan">
      <formula>O51/G10</formula>
    </cfRule>
  </conditionalFormatting>
  <conditionalFormatting sqref="N15">
    <cfRule type="expression" dxfId="34" priority="25" stopIfTrue="1">
      <formula>N$59=$J$60</formula>
    </cfRule>
  </conditionalFormatting>
  <conditionalFormatting sqref="N46">
    <cfRule type="cellIs" dxfId="33" priority="26" stopIfTrue="1" operator="lessThanOrEqual">
      <formula>N$66</formula>
    </cfRule>
  </conditionalFormatting>
  <conditionalFormatting sqref="N27">
    <cfRule type="expression" dxfId="32" priority="27" stopIfTrue="1">
      <formula>N21=""</formula>
    </cfRule>
    <cfRule type="expression" dxfId="31" priority="28" stopIfTrue="1">
      <formula>N21=" "</formula>
    </cfRule>
  </conditionalFormatting>
  <conditionalFormatting sqref="N22">
    <cfRule type="expression" dxfId="30" priority="29" stopIfTrue="1">
      <formula>N21=" "</formula>
    </cfRule>
    <cfRule type="expression" dxfId="29" priority="30" stopIfTrue="1">
      <formula>N21="Dual Fan Dual Duct"</formula>
    </cfRule>
    <cfRule type="expression" dxfId="28" priority="31" stopIfTrue="1">
      <formula>N21=""</formula>
    </cfRule>
  </conditionalFormatting>
  <conditionalFormatting sqref="N56">
    <cfRule type="cellIs" dxfId="27" priority="32" stopIfTrue="1" operator="greaterThan">
      <formula>1</formula>
    </cfRule>
  </conditionalFormatting>
  <conditionalFormatting sqref="N64">
    <cfRule type="cellIs" dxfId="26" priority="829" stopIfTrue="1" operator="lessThan">
      <formula>N51/G10</formula>
    </cfRule>
  </conditionalFormatting>
  <conditionalFormatting sqref="M15">
    <cfRule type="expression" dxfId="25" priority="17" stopIfTrue="1">
      <formula>M$59=$J$60</formula>
    </cfRule>
  </conditionalFormatting>
  <conditionalFormatting sqref="M46">
    <cfRule type="cellIs" dxfId="24" priority="18" stopIfTrue="1" operator="lessThanOrEqual">
      <formula>M$66</formula>
    </cfRule>
  </conditionalFormatting>
  <conditionalFormatting sqref="M27">
    <cfRule type="expression" dxfId="23" priority="19" stopIfTrue="1">
      <formula>M21=""</formula>
    </cfRule>
    <cfRule type="expression" dxfId="22" priority="20" stopIfTrue="1">
      <formula>M21=" "</formula>
    </cfRule>
  </conditionalFormatting>
  <conditionalFormatting sqref="M22">
    <cfRule type="expression" dxfId="21" priority="21" stopIfTrue="1">
      <formula>M21=" "</formula>
    </cfRule>
    <cfRule type="expression" dxfId="20" priority="22" stopIfTrue="1">
      <formula>M21="Dual Fan Dual Duct"</formula>
    </cfRule>
    <cfRule type="expression" dxfId="19" priority="23" stopIfTrue="1">
      <formula>M21=""</formula>
    </cfRule>
  </conditionalFormatting>
  <conditionalFormatting sqref="M56">
    <cfRule type="cellIs" dxfId="18" priority="24" stopIfTrue="1" operator="greaterThan">
      <formula>1</formula>
    </cfRule>
  </conditionalFormatting>
  <conditionalFormatting sqref="M64">
    <cfRule type="cellIs" dxfId="17" priority="831" stopIfTrue="1" operator="lessThan">
      <formula>M51/G10</formula>
    </cfRule>
  </conditionalFormatting>
  <conditionalFormatting sqref="L15">
    <cfRule type="expression" dxfId="16" priority="9" stopIfTrue="1">
      <formula>L$59=$J$60</formula>
    </cfRule>
  </conditionalFormatting>
  <conditionalFormatting sqref="L46">
    <cfRule type="cellIs" dxfId="15" priority="10" stopIfTrue="1" operator="lessThanOrEqual">
      <formula>L$66</formula>
    </cfRule>
  </conditionalFormatting>
  <conditionalFormatting sqref="L27">
    <cfRule type="expression" dxfId="14" priority="11" stopIfTrue="1">
      <formula>L21=""</formula>
    </cfRule>
    <cfRule type="expression" dxfId="13" priority="12" stopIfTrue="1">
      <formula>L21=" "</formula>
    </cfRule>
  </conditionalFormatting>
  <conditionalFormatting sqref="L22">
    <cfRule type="expression" dxfId="12" priority="13" stopIfTrue="1">
      <formula>L21=" "</formula>
    </cfRule>
    <cfRule type="expression" dxfId="11" priority="14" stopIfTrue="1">
      <formula>L21="Dual Fan Dual Duct"</formula>
    </cfRule>
    <cfRule type="expression" dxfId="10" priority="15" stopIfTrue="1">
      <formula>L21=""</formula>
    </cfRule>
  </conditionalFormatting>
  <conditionalFormatting sqref="L56">
    <cfRule type="cellIs" dxfId="9" priority="16" stopIfTrue="1" operator="greaterThan">
      <formula>1</formula>
    </cfRule>
  </conditionalFormatting>
  <conditionalFormatting sqref="L64">
    <cfRule type="cellIs" dxfId="8" priority="833" stopIfTrue="1" operator="lessThan">
      <formula>L51/G10</formula>
    </cfRule>
  </conditionalFormatting>
  <conditionalFormatting sqref="K15">
    <cfRule type="expression" dxfId="7" priority="1" stopIfTrue="1">
      <formula>K$59=$J$60</formula>
    </cfRule>
  </conditionalFormatting>
  <conditionalFormatting sqref="K46">
    <cfRule type="cellIs" dxfId="6" priority="2" stopIfTrue="1" operator="lessThanOrEqual">
      <formula>K$66</formula>
    </cfRule>
  </conditionalFormatting>
  <conditionalFormatting sqref="K27">
    <cfRule type="expression" dxfId="5" priority="3" stopIfTrue="1">
      <formula>K21=""</formula>
    </cfRule>
    <cfRule type="expression" dxfId="4" priority="4" stopIfTrue="1">
      <formula>K21=" "</formula>
    </cfRule>
  </conditionalFormatting>
  <conditionalFormatting sqref="K22">
    <cfRule type="expression" dxfId="3" priority="5" stopIfTrue="1">
      <formula>K21=" "</formula>
    </cfRule>
    <cfRule type="expression" dxfId="2" priority="6" stopIfTrue="1">
      <formula>K21="Dual Fan Dual Duct"</formula>
    </cfRule>
    <cfRule type="expression" dxfId="1" priority="7" stopIfTrue="1">
      <formula>K21=""</formula>
    </cfRule>
  </conditionalFormatting>
  <conditionalFormatting sqref="K56">
    <cfRule type="cellIs" dxfId="0" priority="8" stopIfTrue="1" operator="greaterThan">
      <formula>1</formula>
    </cfRule>
  </conditionalFormatting>
  <dataValidations count="6">
    <dataValidation type="list" showInputMessage="1" showErrorMessage="1" sqref="C4">
      <formula1>$A$157:$A$158</formula1>
    </dataValidation>
    <dataValidation type="list" showInputMessage="1" showErrorMessage="1" sqref="Q25">
      <formula1>ez_index</formula1>
    </dataValidation>
    <dataValidation type="list" showInputMessage="1" showErrorMessage="1" sqref="J13:P13">
      <formula1>$D$157:$D$158</formula1>
    </dataValidation>
    <dataValidation type="list" allowBlank="1" showInputMessage="1" showErrorMessage="1" sqref="K25:P25">
      <formula1>ez_index</formula1>
    </dataValidation>
    <dataValidation type="list" allowBlank="1" showInputMessage="1" showErrorMessage="1" sqref="K21:Q21">
      <formula1>$C$157:$C$160</formula1>
    </dataValidation>
    <dataValidation type="list" showInputMessage="1" showErrorMessage="1" sqref="K17:Q17">
      <formula1>Space_index</formula1>
    </dataValidation>
  </dataValidations>
  <pageMargins left="0.75" right="0.75" top="0.56999999999999995" bottom="0.54" header="0.28000000000000003" footer="0.34"/>
  <pageSetup scale="60" orientation="landscape" r:id="rId1"/>
  <headerFooter alignWithMargins="0"/>
  <drawing r:id="rId2"/>
  <legacyDrawing r:id="rId3"/>
  <controls>
    <mc:AlternateContent xmlns:mc="http://schemas.openxmlformats.org/markup-compatibility/2006">
      <mc:Choice Requires="x14">
        <control shapeId="11269" r:id="rId4" name="Test_Button">
          <controlPr autoLine="0" r:id="rId5">
            <anchor>
              <from>
                <xdr:col>1</xdr:col>
                <xdr:colOff>1276350</xdr:colOff>
                <xdr:row>0</xdr:row>
                <xdr:rowOff>47625</xdr:rowOff>
              </from>
              <to>
                <xdr:col>1</xdr:col>
                <xdr:colOff>2200275</xdr:colOff>
                <xdr:row>2</xdr:row>
                <xdr:rowOff>0</xdr:rowOff>
              </to>
            </anchor>
          </controlPr>
        </control>
      </mc:Choice>
      <mc:Fallback>
        <control shapeId="11269" r:id="rId4" name="Test_Button"/>
      </mc:Fallback>
    </mc:AlternateContent>
    <mc:AlternateContent xmlns:mc="http://schemas.openxmlformats.org/markup-compatibility/2006">
      <mc:Choice Requires="x14">
        <control shapeId="11268" r:id="rId6" name="Delete_Zone">
          <controlPr defaultSize="0" print="0" autoFill="0" autoLine="0" r:id="rId7">
            <anchor>
              <from>
                <xdr:col>1</xdr:col>
                <xdr:colOff>2276475</xdr:colOff>
                <xdr:row>0</xdr:row>
                <xdr:rowOff>19050</xdr:rowOff>
              </from>
              <to>
                <xdr:col>1</xdr:col>
                <xdr:colOff>3352800</xdr:colOff>
                <xdr:row>1</xdr:row>
                <xdr:rowOff>142875</xdr:rowOff>
              </to>
            </anchor>
          </controlPr>
        </control>
      </mc:Choice>
      <mc:Fallback>
        <control shapeId="11268" r:id="rId6" name="Delete_Zone"/>
      </mc:Fallback>
    </mc:AlternateContent>
    <mc:AlternateContent xmlns:mc="http://schemas.openxmlformats.org/markup-compatibility/2006">
      <mc:Choice Requires="x14">
        <control shapeId="11267" r:id="rId8" name="Show_Ez">
          <controlPr defaultSize="0" print="0" autoFill="0" autoLine="0" r:id="rId9">
            <anchor moveWithCells="1">
              <from>
                <xdr:col>7</xdr:col>
                <xdr:colOff>152400</xdr:colOff>
                <xdr:row>24</xdr:row>
                <xdr:rowOff>47625</xdr:rowOff>
              </from>
              <to>
                <xdr:col>9</xdr:col>
                <xdr:colOff>552450</xdr:colOff>
                <xdr:row>26</xdr:row>
                <xdr:rowOff>9525</xdr:rowOff>
              </to>
            </anchor>
          </controlPr>
        </control>
      </mc:Choice>
      <mc:Fallback>
        <control shapeId="11267" r:id="rId8" name="Show_Ez"/>
      </mc:Fallback>
    </mc:AlternateContent>
    <mc:AlternateContent xmlns:mc="http://schemas.openxmlformats.org/markup-compatibility/2006">
      <mc:Choice Requires="x14">
        <control shapeId="11266" r:id="rId10" name="CommandButton2">
          <controlPr defaultSize="0" print="0" autoLine="0" r:id="rId11">
            <anchor moveWithCells="1">
              <from>
                <xdr:col>1</xdr:col>
                <xdr:colOff>1562100</xdr:colOff>
                <xdr:row>14</xdr:row>
                <xdr:rowOff>9525</xdr:rowOff>
              </from>
              <to>
                <xdr:col>1</xdr:col>
                <xdr:colOff>3362325</xdr:colOff>
                <xdr:row>16</xdr:row>
                <xdr:rowOff>9525</xdr:rowOff>
              </to>
            </anchor>
          </controlPr>
        </control>
      </mc:Choice>
      <mc:Fallback>
        <control shapeId="11266" r:id="rId10" name="CommandButton2"/>
      </mc:Fallback>
    </mc:AlternateContent>
    <mc:AlternateContent xmlns:mc="http://schemas.openxmlformats.org/markup-compatibility/2006">
      <mc:Choice Requires="x14">
        <control shapeId="11265" r:id="rId12" name="Add_zone">
          <controlPr defaultSize="0" print="0" autoFill="0" autoLine="0" r:id="rId13">
            <anchor>
              <from>
                <xdr:col>1</xdr:col>
                <xdr:colOff>2276475</xdr:colOff>
                <xdr:row>2</xdr:row>
                <xdr:rowOff>9525</xdr:rowOff>
              </from>
              <to>
                <xdr:col>1</xdr:col>
                <xdr:colOff>3352800</xdr:colOff>
                <xdr:row>3</xdr:row>
                <xdr:rowOff>133350</xdr:rowOff>
              </to>
            </anchor>
          </controlPr>
        </control>
      </mc:Choice>
      <mc:Fallback>
        <control shapeId="11265" r:id="rId12" name="Add_zone"/>
      </mc:Fallback>
    </mc:AlternateContent>
    <mc:AlternateContent xmlns:mc="http://schemas.openxmlformats.org/markup-compatibility/2006">
      <mc:Choice Requires="x14">
        <control shapeId="11276" r:id="rId14" name="ZoneCheck">
          <controlPr autoLine="0" r:id="rId15">
            <anchor moveWithCells="1">
              <from>
                <xdr:col>1</xdr:col>
                <xdr:colOff>685800</xdr:colOff>
                <xdr:row>0</xdr:row>
                <xdr:rowOff>0</xdr:rowOff>
              </from>
              <to>
                <xdr:col>1</xdr:col>
                <xdr:colOff>1543050</xdr:colOff>
                <xdr:row>2</xdr:row>
                <xdr:rowOff>38100</xdr:rowOff>
              </to>
            </anchor>
          </controlPr>
        </control>
      </mc:Choice>
      <mc:Fallback>
        <control shapeId="11276" r:id="rId14" name="ZoneCheck"/>
      </mc:Fallback>
    </mc:AlternateContent>
    <mc:AlternateContent xmlns:mc="http://schemas.openxmlformats.org/markup-compatibility/2006">
      <mc:Choice Requires="x14">
        <control shapeId="11270" r:id="rId16" name="Button 6">
          <controlPr defaultSize="0" print="0" autoFill="0" autoPict="0" macro="[0]!TestSheet">
            <anchor moveWithCells="1">
              <from>
                <xdr:col>1</xdr:col>
                <xdr:colOff>2286000</xdr:colOff>
                <xdr:row>7</xdr:row>
                <xdr:rowOff>0</xdr:rowOff>
              </from>
              <to>
                <xdr:col>1</xdr:col>
                <xdr:colOff>2924175</xdr:colOff>
                <xdr:row>8</xdr:row>
                <xdr:rowOff>57150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H115"/>
  <sheetViews>
    <sheetView workbookViewId="0">
      <selection activeCell="A85" sqref="A85"/>
    </sheetView>
  </sheetViews>
  <sheetFormatPr defaultColWidth="8.85546875" defaultRowHeight="12"/>
  <cols>
    <col min="1" max="1" width="23.28515625" style="15" customWidth="1"/>
    <col min="2" max="5" width="8.85546875" style="15" customWidth="1"/>
    <col min="6" max="6" width="11.7109375" style="15" customWidth="1"/>
    <col min="7" max="16384" width="8.85546875" style="15"/>
  </cols>
  <sheetData>
    <row r="2" spans="1:6">
      <c r="A2" s="15" t="s">
        <v>282</v>
      </c>
    </row>
    <row r="3" spans="1:6" ht="36">
      <c r="A3" s="233"/>
      <c r="B3" s="369" t="s">
        <v>152</v>
      </c>
      <c r="C3" s="369"/>
      <c r="D3" s="369" t="s">
        <v>81</v>
      </c>
      <c r="E3" s="369"/>
      <c r="F3" s="235" t="s">
        <v>164</v>
      </c>
    </row>
    <row r="4" spans="1:6" ht="49.15" customHeight="1">
      <c r="A4" s="234" t="s">
        <v>5</v>
      </c>
      <c r="B4" s="236" t="s">
        <v>311</v>
      </c>
      <c r="C4" s="236" t="s">
        <v>312</v>
      </c>
      <c r="D4" s="236" t="s">
        <v>313</v>
      </c>
      <c r="E4" s="236" t="s">
        <v>314</v>
      </c>
      <c r="F4" s="235" t="s">
        <v>315</v>
      </c>
    </row>
    <row r="5" spans="1:6">
      <c r="A5" s="230" t="s">
        <v>71</v>
      </c>
      <c r="B5" s="231">
        <v>10</v>
      </c>
      <c r="C5" s="231">
        <v>0.18</v>
      </c>
      <c r="D5" s="231">
        <v>5</v>
      </c>
      <c r="E5" s="231">
        <v>0.9</v>
      </c>
      <c r="F5" s="231">
        <v>20</v>
      </c>
    </row>
    <row r="6" spans="1:6">
      <c r="A6" s="230" t="s">
        <v>37</v>
      </c>
      <c r="B6" s="231">
        <v>5</v>
      </c>
      <c r="C6" s="231">
        <v>0.06</v>
      </c>
      <c r="D6" s="231">
        <v>2.5</v>
      </c>
      <c r="E6" s="231">
        <v>0.3</v>
      </c>
      <c r="F6" s="231">
        <v>150</v>
      </c>
    </row>
    <row r="7" spans="1:6">
      <c r="A7" s="230" t="s">
        <v>261</v>
      </c>
      <c r="B7" s="231">
        <v>5</v>
      </c>
      <c r="C7" s="231">
        <v>0.06</v>
      </c>
      <c r="D7" s="231">
        <v>2.5</v>
      </c>
      <c r="E7" s="231">
        <v>0.3</v>
      </c>
      <c r="F7" s="231">
        <v>5</v>
      </c>
    </row>
    <row r="8" spans="1:6">
      <c r="A8" s="230" t="s">
        <v>276</v>
      </c>
      <c r="B8" s="231">
        <v>7.5</v>
      </c>
      <c r="C8" s="231">
        <v>0.06</v>
      </c>
      <c r="D8" s="231">
        <v>3.8</v>
      </c>
      <c r="E8" s="231">
        <v>0.3</v>
      </c>
      <c r="F8" s="231">
        <v>15</v>
      </c>
    </row>
    <row r="9" spans="1:6">
      <c r="A9" s="230" t="s">
        <v>270</v>
      </c>
      <c r="B9" s="231">
        <v>7.5</v>
      </c>
      <c r="C9" s="231">
        <v>0.06</v>
      </c>
      <c r="D9" s="231">
        <v>3.8</v>
      </c>
      <c r="E9" s="231">
        <v>0.3</v>
      </c>
      <c r="F9" s="231">
        <v>25</v>
      </c>
    </row>
    <row r="10" spans="1:6">
      <c r="A10" s="230" t="s">
        <v>29</v>
      </c>
      <c r="B10" s="231">
        <v>5</v>
      </c>
      <c r="C10" s="231">
        <v>0.06</v>
      </c>
      <c r="D10" s="231">
        <v>2.5</v>
      </c>
      <c r="E10" s="231">
        <v>0.3</v>
      </c>
      <c r="F10" s="231">
        <v>20</v>
      </c>
    </row>
    <row r="11" spans="1:6">
      <c r="A11" s="230" t="s">
        <v>26</v>
      </c>
      <c r="B11" s="231">
        <v>7.5</v>
      </c>
      <c r="C11" s="231">
        <v>0.18</v>
      </c>
      <c r="D11" s="231">
        <v>3.8</v>
      </c>
      <c r="E11" s="231">
        <v>0.9</v>
      </c>
      <c r="F11" s="231">
        <v>100</v>
      </c>
    </row>
    <row r="12" spans="1:6">
      <c r="A12" s="230" t="s">
        <v>44</v>
      </c>
      <c r="B12" s="231">
        <v>20</v>
      </c>
      <c r="C12" s="231">
        <v>0.12</v>
      </c>
      <c r="D12" s="231">
        <v>10</v>
      </c>
      <c r="E12" s="231">
        <v>0.6</v>
      </c>
      <c r="F12" s="231">
        <v>25</v>
      </c>
    </row>
    <row r="13" spans="1:6">
      <c r="A13" s="230" t="s">
        <v>256</v>
      </c>
      <c r="B13" s="231">
        <v>5</v>
      </c>
      <c r="C13" s="231">
        <v>0.06</v>
      </c>
      <c r="D13" s="231">
        <v>2.5</v>
      </c>
      <c r="E13" s="231">
        <v>0.3</v>
      </c>
      <c r="F13" s="231">
        <v>10</v>
      </c>
    </row>
    <row r="14" spans="1:6">
      <c r="A14" s="230" t="s">
        <v>68</v>
      </c>
      <c r="B14" s="231">
        <v>7.5</v>
      </c>
      <c r="C14" s="231">
        <v>0.06</v>
      </c>
      <c r="D14" s="231">
        <v>3.8</v>
      </c>
      <c r="E14" s="231">
        <v>0.3</v>
      </c>
      <c r="F14" s="231">
        <v>50</v>
      </c>
    </row>
    <row r="15" spans="1:6">
      <c r="A15" s="230" t="s">
        <v>61</v>
      </c>
      <c r="B15" s="231">
        <v>10</v>
      </c>
      <c r="C15" s="231">
        <v>0.12</v>
      </c>
      <c r="D15" s="231">
        <v>5</v>
      </c>
      <c r="E15" s="231">
        <v>0.6</v>
      </c>
      <c r="F15" s="231">
        <v>40</v>
      </c>
    </row>
    <row r="16" spans="1:6">
      <c r="A16" s="230" t="s">
        <v>253</v>
      </c>
      <c r="B16" s="231">
        <v>5</v>
      </c>
      <c r="C16" s="231">
        <v>0.12</v>
      </c>
      <c r="D16" s="231">
        <v>2.5</v>
      </c>
      <c r="E16" s="231">
        <v>0.6</v>
      </c>
      <c r="F16" s="231">
        <v>50</v>
      </c>
    </row>
    <row r="17" spans="1:6">
      <c r="A17" s="230" t="s">
        <v>252</v>
      </c>
      <c r="B17" s="231">
        <v>7.5</v>
      </c>
      <c r="C17" s="231">
        <v>0.18</v>
      </c>
      <c r="D17" s="231">
        <v>3.8</v>
      </c>
      <c r="E17" s="231">
        <v>0.9</v>
      </c>
      <c r="F17" s="231">
        <v>100</v>
      </c>
    </row>
    <row r="18" spans="1:6">
      <c r="A18" s="230" t="s">
        <v>66</v>
      </c>
      <c r="B18" s="231">
        <v>5</v>
      </c>
      <c r="C18" s="231">
        <v>0.12</v>
      </c>
      <c r="D18" s="231">
        <v>2.5</v>
      </c>
      <c r="E18" s="231">
        <v>0.6</v>
      </c>
      <c r="F18" s="231">
        <v>25</v>
      </c>
    </row>
    <row r="19" spans="1:6">
      <c r="A19" s="230" t="s">
        <v>70</v>
      </c>
      <c r="B19" s="231">
        <v>10</v>
      </c>
      <c r="C19" s="231">
        <v>0.12</v>
      </c>
      <c r="D19" s="231">
        <v>5</v>
      </c>
      <c r="E19" s="231">
        <v>0.6</v>
      </c>
      <c r="F19" s="231">
        <v>35</v>
      </c>
    </row>
    <row r="20" spans="1:6">
      <c r="A20" s="232" t="s">
        <v>250</v>
      </c>
      <c r="B20" s="231">
        <v>10</v>
      </c>
      <c r="C20" s="231">
        <v>0.12</v>
      </c>
      <c r="D20" s="231">
        <v>5</v>
      </c>
      <c r="E20" s="231">
        <v>0.6</v>
      </c>
      <c r="F20" s="231">
        <v>25</v>
      </c>
    </row>
    <row r="21" spans="1:6">
      <c r="A21" s="230" t="s">
        <v>254</v>
      </c>
      <c r="B21" s="231">
        <v>5</v>
      </c>
      <c r="C21" s="231">
        <v>0.06</v>
      </c>
      <c r="D21" s="231">
        <v>2.5</v>
      </c>
      <c r="E21" s="231">
        <v>0.3</v>
      </c>
      <c r="F21" s="231">
        <v>20</v>
      </c>
    </row>
    <row r="22" spans="1:6">
      <c r="A22" s="230" t="s">
        <v>163</v>
      </c>
      <c r="B22" s="231">
        <v>7.5</v>
      </c>
      <c r="C22" s="231">
        <v>0.12</v>
      </c>
      <c r="D22" s="231">
        <v>3.8</v>
      </c>
      <c r="E22" s="231">
        <v>0.6</v>
      </c>
      <c r="F22" s="231">
        <v>20</v>
      </c>
    </row>
    <row r="23" spans="1:6">
      <c r="A23" s="230" t="s">
        <v>269</v>
      </c>
      <c r="B23" s="231">
        <v>0</v>
      </c>
      <c r="C23" s="231">
        <v>0.06</v>
      </c>
      <c r="D23" s="231">
        <v>0</v>
      </c>
      <c r="E23" s="231">
        <v>0.3</v>
      </c>
      <c r="F23" s="231"/>
    </row>
    <row r="24" spans="1:6">
      <c r="A24" s="230" t="s">
        <v>32</v>
      </c>
      <c r="B24" s="231">
        <v>5</v>
      </c>
      <c r="C24" s="231">
        <v>0.06</v>
      </c>
      <c r="D24" s="231">
        <v>2.5</v>
      </c>
      <c r="E24" s="231">
        <v>0.3</v>
      </c>
      <c r="F24" s="231">
        <v>4</v>
      </c>
    </row>
    <row r="25" spans="1:6">
      <c r="A25" s="230" t="s">
        <v>159</v>
      </c>
      <c r="B25" s="231">
        <v>10</v>
      </c>
      <c r="C25" s="231">
        <v>0.12</v>
      </c>
      <c r="D25" s="231">
        <v>5</v>
      </c>
      <c r="E25" s="231">
        <v>0.6</v>
      </c>
      <c r="F25" s="231">
        <v>25</v>
      </c>
    </row>
    <row r="26" spans="1:6">
      <c r="A26" s="230" t="s">
        <v>255</v>
      </c>
      <c r="B26" s="231">
        <v>5</v>
      </c>
      <c r="C26" s="231">
        <v>0.06</v>
      </c>
      <c r="D26" s="231">
        <v>2.5</v>
      </c>
      <c r="E26" s="231">
        <v>0.3</v>
      </c>
      <c r="F26" s="231">
        <v>50</v>
      </c>
    </row>
    <row r="27" spans="1:6">
      <c r="A27" s="230" t="s">
        <v>27</v>
      </c>
      <c r="B27" s="231">
        <v>0</v>
      </c>
      <c r="C27" s="231">
        <v>0.06</v>
      </c>
      <c r="D27" s="231">
        <v>0</v>
      </c>
      <c r="E27" s="231">
        <v>0.3</v>
      </c>
      <c r="F27" s="231">
        <v>0</v>
      </c>
    </row>
    <row r="28" spans="1:6">
      <c r="A28" s="230" t="s">
        <v>38</v>
      </c>
      <c r="B28" s="231">
        <v>5</v>
      </c>
      <c r="C28" s="231">
        <v>0.06</v>
      </c>
      <c r="D28" s="231">
        <v>2.5</v>
      </c>
      <c r="E28" s="231">
        <v>0.3</v>
      </c>
      <c r="F28" s="231">
        <v>70</v>
      </c>
    </row>
    <row r="29" spans="1:6">
      <c r="A29" s="230" t="s">
        <v>69</v>
      </c>
      <c r="B29" s="231">
        <v>10</v>
      </c>
      <c r="C29" s="231">
        <v>0.18</v>
      </c>
      <c r="D29" s="231">
        <v>5</v>
      </c>
      <c r="E29" s="231">
        <v>0.9</v>
      </c>
      <c r="F29" s="231">
        <v>25</v>
      </c>
    </row>
    <row r="30" spans="1:6">
      <c r="A30" s="230" t="s">
        <v>249</v>
      </c>
      <c r="B30" s="231">
        <v>10</v>
      </c>
      <c r="C30" s="231">
        <v>0.18</v>
      </c>
      <c r="D30" s="231">
        <v>5</v>
      </c>
      <c r="E30" s="231">
        <v>0.9</v>
      </c>
      <c r="F30" s="231">
        <v>25</v>
      </c>
    </row>
    <row r="31" spans="1:6">
      <c r="A31" s="230" t="s">
        <v>248</v>
      </c>
      <c r="B31" s="231">
        <v>5</v>
      </c>
      <c r="C31" s="231">
        <v>0.06</v>
      </c>
      <c r="D31" s="231">
        <v>2.5</v>
      </c>
      <c r="E31" s="231">
        <v>0.3</v>
      </c>
      <c r="F31" s="231">
        <v>30</v>
      </c>
    </row>
    <row r="32" spans="1:6">
      <c r="A32" s="230" t="s">
        <v>271</v>
      </c>
      <c r="B32" s="231">
        <v>20</v>
      </c>
      <c r="C32" s="231">
        <v>0.06</v>
      </c>
      <c r="D32" s="231">
        <v>10</v>
      </c>
      <c r="E32" s="231">
        <v>0.3</v>
      </c>
      <c r="F32" s="231">
        <v>100</v>
      </c>
    </row>
    <row r="33" spans="1:6">
      <c r="A33" s="230" t="s">
        <v>268</v>
      </c>
      <c r="B33" s="231">
        <v>5</v>
      </c>
      <c r="C33" s="231">
        <v>0.06</v>
      </c>
      <c r="D33" s="231">
        <v>2.5</v>
      </c>
      <c r="E33" s="231">
        <v>0.3</v>
      </c>
      <c r="F33" s="231">
        <v>2</v>
      </c>
    </row>
    <row r="34" spans="1:6">
      <c r="A34" s="230" t="s">
        <v>262</v>
      </c>
      <c r="B34" s="231">
        <v>0</v>
      </c>
      <c r="C34" s="231">
        <v>0.06</v>
      </c>
      <c r="D34" s="231">
        <v>0</v>
      </c>
      <c r="E34" s="231">
        <v>0.3</v>
      </c>
      <c r="F34" s="231">
        <v>0</v>
      </c>
    </row>
    <row r="35" spans="1:6">
      <c r="A35" s="230" t="s">
        <v>263</v>
      </c>
      <c r="B35" s="231">
        <v>0</v>
      </c>
      <c r="C35" s="231">
        <v>0.12</v>
      </c>
      <c r="D35" s="231">
        <v>0</v>
      </c>
      <c r="E35" s="231">
        <v>0.6</v>
      </c>
      <c r="F35" s="231">
        <v>0</v>
      </c>
    </row>
    <row r="36" spans="1:6">
      <c r="A36" s="230" t="s">
        <v>62</v>
      </c>
      <c r="B36" s="231">
        <v>7.5</v>
      </c>
      <c r="C36" s="231">
        <v>0.18</v>
      </c>
      <c r="D36" s="231">
        <v>3.8</v>
      </c>
      <c r="E36" s="231">
        <v>0.9</v>
      </c>
      <c r="F36" s="231">
        <v>120</v>
      </c>
    </row>
    <row r="37" spans="1:6">
      <c r="A37" s="230" t="s">
        <v>63</v>
      </c>
      <c r="B37" s="231">
        <v>7.5</v>
      </c>
      <c r="C37" s="231">
        <v>0.18</v>
      </c>
      <c r="D37" s="231">
        <v>3.8</v>
      </c>
      <c r="E37" s="231">
        <v>0.9</v>
      </c>
      <c r="F37" s="231">
        <v>20</v>
      </c>
    </row>
    <row r="38" spans="1:6" ht="48">
      <c r="A38" s="230" t="s">
        <v>277</v>
      </c>
      <c r="B38" s="231">
        <v>10</v>
      </c>
      <c r="C38" s="231">
        <v>0.18</v>
      </c>
      <c r="D38" s="231">
        <v>5</v>
      </c>
      <c r="E38" s="231">
        <v>0.9</v>
      </c>
      <c r="F38" s="231">
        <v>7</v>
      </c>
    </row>
    <row r="39" spans="1:6">
      <c r="A39" s="230" t="s">
        <v>67</v>
      </c>
      <c r="B39" s="231">
        <v>5</v>
      </c>
      <c r="C39" s="231">
        <v>0.06</v>
      </c>
      <c r="D39" s="231">
        <v>2.5</v>
      </c>
      <c r="E39" s="231">
        <v>0.3</v>
      </c>
      <c r="F39" s="231">
        <v>15</v>
      </c>
    </row>
    <row r="40" spans="1:6">
      <c r="A40" s="230" t="s">
        <v>49</v>
      </c>
      <c r="B40" s="231">
        <v>0</v>
      </c>
      <c r="C40" s="231">
        <v>0.3</v>
      </c>
      <c r="D40" s="231">
        <v>0</v>
      </c>
      <c r="E40" s="231">
        <v>1.5</v>
      </c>
      <c r="F40" s="231">
        <v>30</v>
      </c>
    </row>
    <row r="41" spans="1:6">
      <c r="A41" s="230" t="s">
        <v>272</v>
      </c>
      <c r="B41" s="231">
        <v>20</v>
      </c>
      <c r="C41" s="231">
        <v>0.06</v>
      </c>
      <c r="D41" s="231">
        <v>10</v>
      </c>
      <c r="E41" s="231">
        <v>0.3</v>
      </c>
      <c r="F41" s="231">
        <v>40</v>
      </c>
    </row>
    <row r="42" spans="1:6">
      <c r="A42" s="230" t="s">
        <v>273</v>
      </c>
      <c r="B42" s="231">
        <v>20</v>
      </c>
      <c r="C42" s="231">
        <v>0.06</v>
      </c>
      <c r="D42" s="231">
        <v>10</v>
      </c>
      <c r="E42" s="231">
        <v>0.3</v>
      </c>
      <c r="F42" s="231">
        <v>10</v>
      </c>
    </row>
    <row r="43" spans="1:6">
      <c r="A43" s="230" t="s">
        <v>278</v>
      </c>
      <c r="B43" s="231">
        <v>7.5</v>
      </c>
      <c r="C43" s="231">
        <v>0.12</v>
      </c>
      <c r="D43" s="231">
        <v>3.8</v>
      </c>
      <c r="E43" s="231">
        <v>0.6</v>
      </c>
      <c r="F43" s="231">
        <v>20</v>
      </c>
    </row>
    <row r="44" spans="1:6" ht="24">
      <c r="A44" s="230" t="s">
        <v>275</v>
      </c>
      <c r="B44" s="231">
        <v>5</v>
      </c>
      <c r="C44" s="231">
        <v>0.12</v>
      </c>
      <c r="D44" s="231">
        <v>2.5</v>
      </c>
      <c r="E44" s="231">
        <v>0.6</v>
      </c>
      <c r="F44" s="231">
        <v>10</v>
      </c>
    </row>
    <row r="45" spans="1:6">
      <c r="A45" s="230" t="s">
        <v>257</v>
      </c>
      <c r="B45" s="231">
        <v>5</v>
      </c>
      <c r="C45" s="231">
        <v>0.12</v>
      </c>
      <c r="D45" s="231">
        <v>2.5</v>
      </c>
      <c r="E45" s="231">
        <v>0.6</v>
      </c>
      <c r="F45" s="231">
        <v>10</v>
      </c>
    </row>
    <row r="46" spans="1:6">
      <c r="A46" s="230" t="s">
        <v>157</v>
      </c>
      <c r="B46" s="231">
        <v>7.5</v>
      </c>
      <c r="C46" s="231">
        <v>0.06</v>
      </c>
      <c r="D46" s="231">
        <v>3.8</v>
      </c>
      <c r="E46" s="231">
        <v>0.3</v>
      </c>
      <c r="F46" s="231">
        <v>65</v>
      </c>
    </row>
    <row r="47" spans="1:6">
      <c r="A47" s="230" t="s">
        <v>158</v>
      </c>
      <c r="B47" s="231">
        <v>7.5</v>
      </c>
      <c r="C47" s="231">
        <v>0.06</v>
      </c>
      <c r="D47" s="231">
        <v>3.8</v>
      </c>
      <c r="E47" s="231">
        <v>0.3</v>
      </c>
      <c r="F47" s="231">
        <v>150</v>
      </c>
    </row>
    <row r="48" spans="1:6">
      <c r="A48" s="230" t="s">
        <v>39</v>
      </c>
      <c r="B48" s="231">
        <v>5</v>
      </c>
      <c r="C48" s="231">
        <v>0.06</v>
      </c>
      <c r="D48" s="231">
        <v>2.5</v>
      </c>
      <c r="E48" s="231">
        <v>0.3</v>
      </c>
      <c r="F48" s="231">
        <v>50</v>
      </c>
    </row>
    <row r="49" spans="1:6">
      <c r="A49" s="230" t="s">
        <v>40</v>
      </c>
      <c r="B49" s="231">
        <v>5</v>
      </c>
      <c r="C49" s="231">
        <v>0.12</v>
      </c>
      <c r="D49" s="231">
        <v>2.5</v>
      </c>
      <c r="E49" s="231">
        <v>0.6</v>
      </c>
      <c r="F49" s="231">
        <v>10</v>
      </c>
    </row>
    <row r="50" spans="1:6">
      <c r="A50" s="230" t="s">
        <v>41</v>
      </c>
      <c r="B50" s="231">
        <v>5</v>
      </c>
      <c r="C50" s="231">
        <v>0.06</v>
      </c>
      <c r="D50" s="231">
        <v>2.5</v>
      </c>
      <c r="E50" s="231">
        <v>0.3</v>
      </c>
      <c r="F50" s="231">
        <v>150</v>
      </c>
    </row>
    <row r="51" spans="1:6">
      <c r="A51" s="230" t="s">
        <v>258</v>
      </c>
      <c r="B51" s="231">
        <v>7.5</v>
      </c>
      <c r="C51" s="231">
        <v>0.06</v>
      </c>
      <c r="D51" s="231">
        <v>3.8</v>
      </c>
      <c r="E51" s="231">
        <v>0.3</v>
      </c>
      <c r="F51" s="231">
        <v>30</v>
      </c>
    </row>
    <row r="52" spans="1:6">
      <c r="A52" s="230" t="s">
        <v>31</v>
      </c>
      <c r="B52" s="231">
        <v>5</v>
      </c>
      <c r="C52" s="231">
        <v>0.06</v>
      </c>
      <c r="D52" s="231">
        <v>2.5</v>
      </c>
      <c r="E52" s="231">
        <v>0.3</v>
      </c>
      <c r="F52" s="231">
        <v>10</v>
      </c>
    </row>
    <row r="53" spans="1:6">
      <c r="A53" s="230" t="s">
        <v>43</v>
      </c>
      <c r="B53" s="231">
        <v>7.5</v>
      </c>
      <c r="C53" s="231">
        <v>0.06</v>
      </c>
      <c r="D53" s="231">
        <v>3.8</v>
      </c>
      <c r="E53" s="231">
        <v>0.3</v>
      </c>
      <c r="F53" s="231">
        <v>40</v>
      </c>
    </row>
    <row r="54" spans="1:6">
      <c r="A54" s="232" t="s">
        <v>160</v>
      </c>
      <c r="B54" s="231">
        <v>10</v>
      </c>
      <c r="C54" s="231">
        <v>0.12</v>
      </c>
      <c r="D54" s="231">
        <v>5</v>
      </c>
      <c r="E54" s="231">
        <v>0.6</v>
      </c>
      <c r="F54" s="231">
        <v>25</v>
      </c>
    </row>
    <row r="55" spans="1:6">
      <c r="A55" s="230" t="s">
        <v>259</v>
      </c>
      <c r="B55" s="231">
        <v>5</v>
      </c>
      <c r="C55" s="231">
        <v>0.06</v>
      </c>
      <c r="D55" s="231">
        <v>2.5</v>
      </c>
      <c r="E55" s="231">
        <v>0.3</v>
      </c>
      <c r="F55" s="231">
        <v>120</v>
      </c>
    </row>
    <row r="56" spans="1:6">
      <c r="A56" s="230" t="s">
        <v>161</v>
      </c>
      <c r="B56" s="231">
        <v>7.5</v>
      </c>
      <c r="C56" s="231">
        <v>0.06</v>
      </c>
      <c r="D56" s="231">
        <v>3.8</v>
      </c>
      <c r="E56" s="231">
        <v>0.3</v>
      </c>
      <c r="F56" s="231">
        <v>100</v>
      </c>
    </row>
    <row r="57" spans="1:6">
      <c r="A57" s="230" t="s">
        <v>162</v>
      </c>
      <c r="B57" s="231">
        <v>7.5</v>
      </c>
      <c r="C57" s="231">
        <v>0.12</v>
      </c>
      <c r="D57" s="231">
        <v>3.8</v>
      </c>
      <c r="E57" s="231">
        <v>0.6</v>
      </c>
      <c r="F57" s="231">
        <v>40</v>
      </c>
    </row>
    <row r="58" spans="1:6">
      <c r="A58" s="230" t="s">
        <v>267</v>
      </c>
      <c r="B58" s="231">
        <v>7.5</v>
      </c>
      <c r="C58" s="231">
        <v>0.06</v>
      </c>
      <c r="D58" s="231">
        <v>3.8</v>
      </c>
      <c r="E58" s="231">
        <v>0.3</v>
      </c>
      <c r="F58" s="231">
        <v>40</v>
      </c>
    </row>
    <row r="59" spans="1:6">
      <c r="A59" s="230" t="s">
        <v>251</v>
      </c>
      <c r="B59" s="231">
        <v>10</v>
      </c>
      <c r="C59" s="231">
        <v>0.06</v>
      </c>
      <c r="D59" s="231">
        <v>5</v>
      </c>
      <c r="E59" s="231">
        <v>0.3</v>
      </c>
      <c r="F59" s="231">
        <v>35</v>
      </c>
    </row>
    <row r="60" spans="1:6" ht="24">
      <c r="A60" s="230" t="s">
        <v>279</v>
      </c>
      <c r="B60" s="231">
        <v>5</v>
      </c>
      <c r="C60" s="231">
        <v>0.12</v>
      </c>
      <c r="D60" s="231">
        <v>2.5</v>
      </c>
      <c r="E60" s="231">
        <v>0.6</v>
      </c>
      <c r="F60" s="231">
        <v>2</v>
      </c>
    </row>
    <row r="61" spans="1:6" ht="24">
      <c r="A61" s="230" t="s">
        <v>280</v>
      </c>
      <c r="B61" s="231">
        <v>5</v>
      </c>
      <c r="C61" s="231">
        <v>0.06</v>
      </c>
      <c r="D61" s="231">
        <v>2.5</v>
      </c>
      <c r="E61" s="231">
        <v>0.3</v>
      </c>
      <c r="F61" s="231">
        <v>2</v>
      </c>
    </row>
    <row r="62" spans="1:6">
      <c r="A62" s="230" t="s">
        <v>47</v>
      </c>
      <c r="B62" s="231">
        <v>5</v>
      </c>
      <c r="C62" s="231">
        <v>0.06</v>
      </c>
      <c r="D62" s="231">
        <v>2.5</v>
      </c>
      <c r="E62" s="231">
        <v>0.3</v>
      </c>
      <c r="F62" s="231">
        <v>5</v>
      </c>
    </row>
    <row r="63" spans="1:6">
      <c r="A63" s="230" t="s">
        <v>45</v>
      </c>
      <c r="B63" s="231">
        <v>7.5</v>
      </c>
      <c r="C63" s="231">
        <v>0.18</v>
      </c>
      <c r="D63" s="231">
        <v>3.8</v>
      </c>
      <c r="E63" s="231">
        <v>0.9</v>
      </c>
      <c r="F63" s="231">
        <v>10</v>
      </c>
    </row>
    <row r="64" spans="1:6">
      <c r="A64" s="230" t="s">
        <v>33</v>
      </c>
      <c r="B64" s="231">
        <v>5</v>
      </c>
      <c r="C64" s="231">
        <v>0.18</v>
      </c>
      <c r="D64" s="231">
        <v>2.5</v>
      </c>
      <c r="E64" s="231">
        <v>0.9</v>
      </c>
      <c r="F64" s="231">
        <v>10</v>
      </c>
    </row>
    <row r="65" spans="1:6">
      <c r="A65" s="230" t="s">
        <v>34</v>
      </c>
      <c r="B65" s="231">
        <v>5</v>
      </c>
      <c r="C65" s="231">
        <v>0.12</v>
      </c>
      <c r="D65" s="231">
        <v>2.5</v>
      </c>
      <c r="E65" s="231">
        <v>0.6</v>
      </c>
      <c r="F65" s="231">
        <v>10</v>
      </c>
    </row>
    <row r="66" spans="1:6">
      <c r="A66" s="230" t="s">
        <v>266</v>
      </c>
      <c r="B66" s="231">
        <v>5</v>
      </c>
      <c r="C66" s="231">
        <v>0.06</v>
      </c>
      <c r="D66" s="231">
        <v>2.5</v>
      </c>
      <c r="E66" s="231">
        <v>0.3</v>
      </c>
      <c r="F66" s="231">
        <v>120</v>
      </c>
    </row>
    <row r="67" spans="1:6">
      <c r="A67" s="230" t="s">
        <v>30</v>
      </c>
      <c r="B67" s="231">
        <v>5</v>
      </c>
      <c r="C67" s="231">
        <v>0.06</v>
      </c>
      <c r="D67" s="231">
        <v>2.5</v>
      </c>
      <c r="E67" s="231">
        <v>0.3</v>
      </c>
      <c r="F67" s="231">
        <v>30</v>
      </c>
    </row>
    <row r="68" spans="1:6">
      <c r="A68" s="230" t="s">
        <v>80</v>
      </c>
      <c r="B68" s="231">
        <v>7.5</v>
      </c>
      <c r="C68" s="231">
        <v>0.18</v>
      </c>
      <c r="D68" s="231">
        <v>3.8</v>
      </c>
      <c r="E68" s="231">
        <v>0.9</v>
      </c>
      <c r="F68" s="231">
        <v>70</v>
      </c>
    </row>
    <row r="69" spans="1:6">
      <c r="A69" s="230" t="s">
        <v>42</v>
      </c>
      <c r="B69" s="231">
        <v>7.5</v>
      </c>
      <c r="C69" s="231">
        <v>0.12</v>
      </c>
      <c r="D69" s="231">
        <v>3.8</v>
      </c>
      <c r="E69" s="231">
        <v>0.6</v>
      </c>
      <c r="F69" s="231">
        <v>15</v>
      </c>
    </row>
    <row r="70" spans="1:6">
      <c r="A70" s="230" t="s">
        <v>72</v>
      </c>
      <c r="B70" s="231">
        <v>10</v>
      </c>
      <c r="C70" s="231">
        <v>0.18</v>
      </c>
      <c r="D70" s="231">
        <v>5</v>
      </c>
      <c r="E70" s="231">
        <v>0.9</v>
      </c>
      <c r="F70" s="231">
        <v>25</v>
      </c>
    </row>
    <row r="71" spans="1:6">
      <c r="A71" s="230" t="s">
        <v>264</v>
      </c>
      <c r="B71" s="231">
        <v>10</v>
      </c>
      <c r="C71" s="231">
        <v>0.12</v>
      </c>
      <c r="D71" s="231">
        <v>5</v>
      </c>
      <c r="E71" s="231">
        <v>0.6</v>
      </c>
      <c r="F71" s="231">
        <v>2</v>
      </c>
    </row>
    <row r="72" spans="1:6" ht="24">
      <c r="A72" s="230" t="s">
        <v>281</v>
      </c>
      <c r="B72" s="231">
        <v>7.5</v>
      </c>
      <c r="C72" s="231">
        <v>0.12</v>
      </c>
      <c r="D72" s="231">
        <v>3.8</v>
      </c>
      <c r="E72" s="231">
        <v>0.6</v>
      </c>
      <c r="F72" s="231">
        <v>7</v>
      </c>
    </row>
    <row r="73" spans="1:6">
      <c r="A73" s="230" t="s">
        <v>59</v>
      </c>
      <c r="B73" s="231">
        <v>7.5</v>
      </c>
      <c r="C73" s="231">
        <v>0.06</v>
      </c>
      <c r="D73" s="231">
        <v>3.8</v>
      </c>
      <c r="E73" s="231">
        <v>0.3</v>
      </c>
      <c r="F73" s="231">
        <v>150</v>
      </c>
    </row>
    <row r="74" spans="1:6">
      <c r="A74" s="230" t="s">
        <v>48</v>
      </c>
      <c r="B74" s="231">
        <v>0</v>
      </c>
      <c r="C74" s="231">
        <v>0.3</v>
      </c>
      <c r="D74" s="231">
        <v>0</v>
      </c>
      <c r="E74" s="231">
        <v>1.5</v>
      </c>
      <c r="F74" s="231">
        <v>0</v>
      </c>
    </row>
    <row r="75" spans="1:6">
      <c r="A75" s="230" t="s">
        <v>64</v>
      </c>
      <c r="B75" s="231">
        <v>10</v>
      </c>
      <c r="C75" s="231">
        <v>0.06</v>
      </c>
      <c r="D75" s="231">
        <v>5</v>
      </c>
      <c r="E75" s="231">
        <v>0.3</v>
      </c>
      <c r="F75" s="231">
        <v>70</v>
      </c>
    </row>
    <row r="76" spans="1:6">
      <c r="A76" s="230" t="s">
        <v>28</v>
      </c>
      <c r="B76" s="231">
        <v>0</v>
      </c>
      <c r="C76" s="231">
        <v>0.12</v>
      </c>
      <c r="D76" s="231">
        <v>0</v>
      </c>
      <c r="E76" s="231">
        <v>0.6</v>
      </c>
      <c r="F76" s="231">
        <v>0</v>
      </c>
    </row>
    <row r="77" spans="1:6">
      <c r="A77" s="230" t="s">
        <v>46</v>
      </c>
      <c r="B77" s="231">
        <v>7.5</v>
      </c>
      <c r="C77" s="231">
        <v>0.06</v>
      </c>
      <c r="D77" s="231">
        <v>3.8</v>
      </c>
      <c r="E77" s="231">
        <v>0.3</v>
      </c>
      <c r="F77" s="231">
        <v>8</v>
      </c>
    </row>
    <row r="78" spans="1:6">
      <c r="A78" s="230" t="s">
        <v>60</v>
      </c>
      <c r="B78" s="231">
        <v>0</v>
      </c>
      <c r="C78" s="231">
        <v>0.48</v>
      </c>
      <c r="D78" s="231">
        <v>0</v>
      </c>
      <c r="E78" s="231">
        <v>2.4</v>
      </c>
      <c r="F78" s="231">
        <v>0</v>
      </c>
    </row>
    <row r="79" spans="1:6">
      <c r="A79" s="230" t="s">
        <v>265</v>
      </c>
      <c r="B79" s="231">
        <v>0</v>
      </c>
      <c r="C79" s="231">
        <v>0</v>
      </c>
      <c r="D79" s="231">
        <v>0</v>
      </c>
      <c r="E79" s="231">
        <v>0</v>
      </c>
      <c r="F79" s="231">
        <v>0</v>
      </c>
    </row>
    <row r="80" spans="1:6">
      <c r="A80" s="230" t="s">
        <v>260</v>
      </c>
      <c r="B80" s="231">
        <v>5</v>
      </c>
      <c r="C80" s="231">
        <v>0.06</v>
      </c>
      <c r="D80" s="231">
        <v>2.5</v>
      </c>
      <c r="E80" s="231">
        <v>0.3</v>
      </c>
      <c r="F80" s="231">
        <v>60</v>
      </c>
    </row>
    <row r="81" spans="1:8">
      <c r="A81" s="230" t="s">
        <v>35</v>
      </c>
      <c r="B81" s="231">
        <v>7.5</v>
      </c>
      <c r="C81" s="231">
        <v>0.06</v>
      </c>
      <c r="D81" s="231">
        <v>3.8</v>
      </c>
      <c r="E81" s="231">
        <v>0.3</v>
      </c>
      <c r="F81" s="231">
        <v>100</v>
      </c>
    </row>
    <row r="82" spans="1:8" ht="24">
      <c r="A82" s="230" t="s">
        <v>274</v>
      </c>
      <c r="B82" s="231">
        <v>10</v>
      </c>
      <c r="C82" s="231">
        <v>0.18</v>
      </c>
      <c r="D82" s="231">
        <v>5</v>
      </c>
      <c r="E82" s="231">
        <v>0.9</v>
      </c>
      <c r="F82" s="231">
        <v>25</v>
      </c>
    </row>
    <row r="83" spans="1:8">
      <c r="A83" s="230" t="s">
        <v>36</v>
      </c>
      <c r="B83" s="231">
        <v>10</v>
      </c>
      <c r="C83" s="231">
        <v>0.06</v>
      </c>
      <c r="D83" s="231">
        <v>5</v>
      </c>
      <c r="E83" s="231">
        <v>0.3</v>
      </c>
      <c r="F83" s="231">
        <v>0</v>
      </c>
    </row>
    <row r="84" spans="1:8">
      <c r="A84" s="230" t="s">
        <v>73</v>
      </c>
      <c r="B84" s="231">
        <v>10</v>
      </c>
      <c r="C84" s="231">
        <v>0.18</v>
      </c>
      <c r="D84" s="231">
        <v>5</v>
      </c>
      <c r="E84" s="231">
        <v>0.9</v>
      </c>
      <c r="F84" s="231">
        <v>20</v>
      </c>
    </row>
    <row r="85" spans="1:8">
      <c r="A85" s="241"/>
      <c r="B85" s="242"/>
      <c r="C85" s="242"/>
      <c r="D85" s="242"/>
      <c r="E85" s="242"/>
      <c r="F85" s="242"/>
      <c r="G85" s="15" t="s">
        <v>316</v>
      </c>
    </row>
    <row r="86" spans="1:8">
      <c r="A86" s="241"/>
      <c r="B86" s="242"/>
      <c r="C86" s="242"/>
      <c r="D86" s="242"/>
      <c r="E86" s="242"/>
      <c r="F86" s="242"/>
    </row>
    <row r="87" spans="1:8">
      <c r="A87" s="241"/>
      <c r="B87" s="242"/>
      <c r="C87" s="242"/>
      <c r="D87" s="242"/>
      <c r="E87" s="242"/>
      <c r="F87" s="242"/>
    </row>
    <row r="88" spans="1:8">
      <c r="A88" s="241"/>
      <c r="B88" s="242"/>
      <c r="C88" s="242"/>
      <c r="D88" s="242"/>
      <c r="E88" s="242"/>
      <c r="F88" s="242"/>
    </row>
    <row r="89" spans="1:8">
      <c r="A89" s="241"/>
      <c r="B89" s="242"/>
      <c r="C89" s="242"/>
      <c r="D89" s="242"/>
      <c r="E89" s="242"/>
      <c r="F89" s="242"/>
    </row>
    <row r="90" spans="1:8">
      <c r="A90" s="241"/>
      <c r="B90" s="242"/>
      <c r="C90" s="242"/>
      <c r="D90" s="242"/>
      <c r="E90" s="242"/>
      <c r="F90" s="242"/>
    </row>
    <row r="91" spans="1:8">
      <c r="A91" s="241"/>
      <c r="B91" s="242"/>
      <c r="C91" s="242"/>
      <c r="D91" s="242"/>
      <c r="E91" s="242"/>
      <c r="F91" s="242"/>
    </row>
    <row r="92" spans="1:8">
      <c r="A92" s="241"/>
      <c r="B92" s="242"/>
      <c r="C92" s="242"/>
      <c r="D92" s="242"/>
      <c r="E92" s="242"/>
      <c r="F92" s="242"/>
    </row>
    <row r="93" spans="1:8">
      <c r="A93" s="241"/>
      <c r="B93" s="242"/>
      <c r="C93" s="242"/>
      <c r="D93" s="242"/>
      <c r="E93" s="242"/>
      <c r="F93" s="242"/>
    </row>
    <row r="94" spans="1:8">
      <c r="A94" s="241"/>
      <c r="B94" s="242"/>
      <c r="C94" s="242"/>
      <c r="D94" s="242"/>
      <c r="E94" s="242"/>
      <c r="F94" s="242"/>
    </row>
    <row r="95" spans="1:8">
      <c r="A95" s="273"/>
      <c r="B95" s="274"/>
      <c r="C95" s="274"/>
      <c r="D95" s="274"/>
      <c r="E95" s="274"/>
      <c r="F95" s="274"/>
      <c r="G95" s="275"/>
      <c r="H95" s="275"/>
    </row>
    <row r="96" spans="1:8">
      <c r="A96" s="273"/>
      <c r="B96" s="274"/>
      <c r="C96" s="274"/>
      <c r="D96" s="274"/>
      <c r="E96" s="274"/>
      <c r="F96" s="274"/>
      <c r="G96" s="275"/>
      <c r="H96" s="275"/>
    </row>
    <row r="97" spans="1:8">
      <c r="A97" s="273"/>
      <c r="B97" s="274"/>
      <c r="C97" s="274"/>
      <c r="D97" s="274"/>
      <c r="E97" s="274"/>
      <c r="F97" s="274"/>
      <c r="G97" s="275"/>
      <c r="H97" s="275"/>
    </row>
    <row r="98" spans="1:8">
      <c r="A98" s="273"/>
      <c r="B98" s="274"/>
      <c r="C98" s="274"/>
      <c r="D98" s="274"/>
      <c r="E98" s="274"/>
      <c r="F98" s="274"/>
      <c r="G98" s="275"/>
      <c r="H98" s="275"/>
    </row>
    <row r="99" spans="1:8">
      <c r="A99" s="273"/>
      <c r="B99" s="274"/>
      <c r="C99" s="274"/>
      <c r="D99" s="274"/>
      <c r="E99" s="274"/>
      <c r="F99" s="274"/>
      <c r="G99" s="275"/>
      <c r="H99" s="275"/>
    </row>
    <row r="100" spans="1:8">
      <c r="A100" s="275"/>
      <c r="B100" s="275"/>
      <c r="C100" s="275"/>
      <c r="D100" s="275"/>
      <c r="E100" s="275"/>
      <c r="F100" s="275"/>
      <c r="G100" s="275"/>
      <c r="H100" s="275"/>
    </row>
    <row r="101" spans="1:8">
      <c r="A101" s="275"/>
      <c r="B101" s="275"/>
      <c r="C101" s="275"/>
      <c r="D101" s="275"/>
      <c r="E101" s="275"/>
      <c r="F101" s="275"/>
      <c r="G101" s="275"/>
      <c r="H101" s="275"/>
    </row>
    <row r="102" spans="1:8">
      <c r="A102" s="275"/>
      <c r="B102" s="275"/>
      <c r="C102" s="275"/>
      <c r="D102" s="275"/>
      <c r="E102" s="275"/>
      <c r="F102" s="275"/>
      <c r="G102" s="275"/>
      <c r="H102" s="275"/>
    </row>
    <row r="103" spans="1:8">
      <c r="A103" s="275"/>
      <c r="B103" s="275"/>
      <c r="C103" s="275"/>
      <c r="D103" s="275"/>
      <c r="E103" s="275"/>
      <c r="F103" s="275"/>
      <c r="G103" s="275"/>
      <c r="H103" s="275"/>
    </row>
    <row r="104" spans="1:8">
      <c r="A104" s="275"/>
      <c r="B104" s="275"/>
      <c r="C104" s="275"/>
      <c r="D104" s="275"/>
      <c r="E104" s="275"/>
      <c r="F104" s="275"/>
      <c r="G104" s="275"/>
      <c r="H104" s="275"/>
    </row>
    <row r="105" spans="1:8">
      <c r="A105" s="275"/>
      <c r="B105" s="275"/>
      <c r="C105" s="275"/>
      <c r="D105" s="275"/>
      <c r="E105" s="275"/>
      <c r="F105" s="275"/>
      <c r="G105" s="275"/>
      <c r="H105" s="275"/>
    </row>
    <row r="106" spans="1:8">
      <c r="A106" s="275"/>
      <c r="B106" s="275"/>
      <c r="C106" s="275"/>
      <c r="D106" s="275"/>
      <c r="E106" s="275"/>
      <c r="F106" s="275"/>
      <c r="G106" s="275"/>
      <c r="H106" s="275"/>
    </row>
    <row r="107" spans="1:8">
      <c r="A107" s="275"/>
      <c r="B107" s="275"/>
      <c r="C107" s="275"/>
      <c r="D107" s="275"/>
      <c r="E107" s="275"/>
      <c r="F107" s="275"/>
      <c r="G107" s="275"/>
      <c r="H107" s="275"/>
    </row>
    <row r="108" spans="1:8">
      <c r="A108" s="275"/>
      <c r="B108" s="275"/>
      <c r="C108" s="275"/>
      <c r="D108" s="275"/>
      <c r="E108" s="275"/>
      <c r="F108" s="275"/>
      <c r="G108" s="275"/>
      <c r="H108" s="275"/>
    </row>
    <row r="109" spans="1:8">
      <c r="A109" s="275"/>
      <c r="B109" s="275"/>
      <c r="C109" s="275"/>
      <c r="D109" s="275"/>
      <c r="E109" s="275"/>
      <c r="F109" s="275"/>
      <c r="G109" s="275"/>
      <c r="H109" s="275"/>
    </row>
    <row r="110" spans="1:8">
      <c r="A110" s="275"/>
      <c r="B110" s="275"/>
      <c r="C110" s="275"/>
      <c r="D110" s="275"/>
      <c r="E110" s="275"/>
      <c r="F110" s="275"/>
      <c r="G110" s="275"/>
      <c r="H110" s="275"/>
    </row>
    <row r="111" spans="1:8">
      <c r="A111" s="275"/>
      <c r="B111" s="275"/>
      <c r="C111" s="275"/>
      <c r="D111" s="275"/>
      <c r="E111" s="275"/>
      <c r="F111" s="275"/>
      <c r="G111" s="275"/>
      <c r="H111" s="275"/>
    </row>
    <row r="112" spans="1:8">
      <c r="A112" s="275"/>
      <c r="B112" s="275"/>
      <c r="C112" s="275"/>
      <c r="D112" s="275"/>
      <c r="E112" s="275"/>
      <c r="F112" s="275"/>
      <c r="G112" s="275"/>
      <c r="H112" s="275"/>
    </row>
    <row r="113" spans="1:8">
      <c r="A113" s="275"/>
      <c r="B113" s="275"/>
      <c r="C113" s="275"/>
      <c r="D113" s="275"/>
      <c r="E113" s="275"/>
      <c r="F113" s="275"/>
      <c r="G113" s="275"/>
      <c r="H113" s="275"/>
    </row>
    <row r="114" spans="1:8">
      <c r="A114" s="275"/>
      <c r="B114" s="275"/>
      <c r="C114" s="275"/>
      <c r="D114" s="275"/>
      <c r="E114" s="275"/>
      <c r="F114" s="275"/>
      <c r="G114" s="275"/>
      <c r="H114" s="275"/>
    </row>
    <row r="115" spans="1:8">
      <c r="A115" s="275"/>
      <c r="B115" s="275"/>
      <c r="C115" s="275"/>
      <c r="D115" s="275"/>
      <c r="E115" s="275"/>
      <c r="F115" s="275"/>
      <c r="G115" s="275"/>
      <c r="H115" s="275"/>
    </row>
  </sheetData>
  <sheetProtection password="8C0F" sheet="1" objects="1" scenarios="1" selectLockedCells="1"/>
  <mergeCells count="2">
    <mergeCell ref="B3:C3"/>
    <mergeCell ref="D3:E3"/>
  </mergeCells>
  <phoneticPr fontId="3" type="noConversion"/>
  <pageMargins left="0.75" right="0.75" top="1" bottom="1" header="0.5" footer="0.5"/>
  <pageSetup orientation="portrait" horizontalDpi="1200" verticalDpi="12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6"/>
  <sheetViews>
    <sheetView workbookViewId="0">
      <selection activeCell="C7" sqref="C7"/>
    </sheetView>
  </sheetViews>
  <sheetFormatPr defaultRowHeight="12.75"/>
  <sheetData>
    <row r="1" spans="1:3">
      <c r="A1" t="s">
        <v>487</v>
      </c>
    </row>
    <row r="2" spans="1:3">
      <c r="B2" t="s">
        <v>488</v>
      </c>
    </row>
    <row r="3" spans="1:3">
      <c r="C3" t="s">
        <v>489</v>
      </c>
    </row>
    <row r="4" spans="1:3">
      <c r="B4" t="s">
        <v>490</v>
      </c>
    </row>
    <row r="5" spans="1:3">
      <c r="C5" t="s">
        <v>491</v>
      </c>
    </row>
    <row r="6" spans="1:3">
      <c r="C6" t="s">
        <v>492</v>
      </c>
    </row>
  </sheetData>
  <phoneticPr fontId="26"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31</vt:i4>
      </vt:variant>
    </vt:vector>
  </HeadingPairs>
  <TitlesOfParts>
    <vt:vector size="36" baseType="lpstr">
      <vt:lpstr>Direct Export</vt:lpstr>
      <vt:lpstr>Directions</vt:lpstr>
      <vt:lpstr>Calc default (2)</vt:lpstr>
      <vt:lpstr>Table 6-1 Rates</vt:lpstr>
      <vt:lpstr>LEED Comments-1</vt:lpstr>
      <vt:lpstr>'Calc default (2)'!As</vt:lpstr>
      <vt:lpstr>'Direct Export'!capital_one___phelan</vt:lpstr>
      <vt:lpstr>'Calc default (2)'!D</vt:lpstr>
      <vt:lpstr>'Calc default (2)'!Default_people_lookup</vt:lpstr>
      <vt:lpstr>'Calc default (2)'!error_flag</vt:lpstr>
      <vt:lpstr>'Calc default (2)'!Ev</vt:lpstr>
      <vt:lpstr>'Calc default (2)'!eval_cell</vt:lpstr>
      <vt:lpstr>'Calc default (2)'!ez_index</vt:lpstr>
      <vt:lpstr>'Calc default (2)'!ez_table</vt:lpstr>
      <vt:lpstr>'Calc default (2)'!Last_zone</vt:lpstr>
      <vt:lpstr>'Calc default (2)'!Population_Diversity</vt:lpstr>
      <vt:lpstr>'Calc default (2)'!Print_Area</vt:lpstr>
      <vt:lpstr>'Calc default (2)'!Print_Titles</vt:lpstr>
      <vt:lpstr>'Calc default (2)'!Ps</vt:lpstr>
      <vt:lpstr>'Calc default (2)'!Ps_diversified</vt:lpstr>
      <vt:lpstr>'Calc default (2)'!ras</vt:lpstr>
      <vt:lpstr>'Calc default (2)'!rps</vt:lpstr>
      <vt:lpstr>Space_air_rates</vt:lpstr>
      <vt:lpstr>Space_index</vt:lpstr>
      <vt:lpstr>'Calc default (2)'!str_convert</vt:lpstr>
      <vt:lpstr>'Calc default (2)'!TU_units</vt:lpstr>
      <vt:lpstr>Units</vt:lpstr>
      <vt:lpstr>'Calc default (2)'!V_ot_App_G</vt:lpstr>
      <vt:lpstr>'Calc default (2)'!V_ou</vt:lpstr>
      <vt:lpstr>'Calc default (2)'!Vot</vt:lpstr>
      <vt:lpstr>'Calc default (2)'!Vpsd</vt:lpstr>
      <vt:lpstr>'Calc default (2)'!Y_App_G</vt:lpstr>
      <vt:lpstr>'Calc default (2)'!Ypd</vt:lpstr>
      <vt:lpstr>'Calc default (2)'!Zone_Names_in_Use</vt:lpstr>
      <vt:lpstr>'Calc default (2)'!Zone_Names_Source</vt:lpstr>
      <vt:lpstr>'Calc default (2)'!Zone_Names_Source_past3</vt:lpstr>
    </vt:vector>
  </TitlesOfParts>
  <Company>NIST IAQ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 reviewer</dc:creator>
  <cp:lastModifiedBy>Matt Clough</cp:lastModifiedBy>
  <cp:lastPrinted>2007-05-02T07:30:10Z</cp:lastPrinted>
  <dcterms:created xsi:type="dcterms:W3CDTF">2002-08-07T16:20:29Z</dcterms:created>
  <dcterms:modified xsi:type="dcterms:W3CDTF">2016-12-06T14:25:35Z</dcterms:modified>
</cp:coreProperties>
</file>