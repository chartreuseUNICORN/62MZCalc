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date1904="1" showInkAnnotation="0" codeName="ThisWorkbook" defaultThemeVersion="124226"/>
  <mc:AlternateContent xmlns:mc="http://schemas.openxmlformats.org/markup-compatibility/2006">
    <mc:Choice Requires="x15">
      <x15ac:absPath xmlns:x15ac="http://schemas.microsoft.com/office/spreadsheetml/2010/11/ac" url="H:\004_spreadsheets\"/>
    </mc:Choice>
  </mc:AlternateContent>
  <bookViews>
    <workbookView xWindow="0" yWindow="0" windowWidth="23685" windowHeight="12750" activeTab="2"/>
  </bookViews>
  <sheets>
    <sheet name="Direct Export" sheetId="22" r:id="rId1"/>
    <sheet name="Directions" sheetId="12" r:id="rId2"/>
    <sheet name="Calc Default" sheetId="34" r:id="rId3"/>
    <sheet name="Table 6-1 Rates" sheetId="15" r:id="rId4"/>
    <sheet name="LEED Comments-1" sheetId="17" r:id="rId5"/>
  </sheets>
  <functionGroups builtInGroupCount="18"/>
  <externalReferences>
    <externalReference r:id="rId6"/>
  </externalReferences>
  <definedNames>
    <definedName name="As" localSheetId="2">'Calc Default'!$F$7</definedName>
    <definedName name="CSISD_ES_10_Load_1" localSheetId="0">'Direct Export'!$A$1:$ED$166</definedName>
    <definedName name="D" localSheetId="2">'Calc Default'!#REF!</definedName>
    <definedName name="Default_people_lookup" localSheetId="2">'Calc Default'!$V$19</definedName>
    <definedName name="Er_Row" localSheetId="2">'Calc Default'!#REF!</definedName>
    <definedName name="error_flag" localSheetId="2">'Calc Default'!$J$72</definedName>
    <definedName name="Ev" localSheetId="2">'Calc Default'!$J$60</definedName>
    <definedName name="eval_cell" localSheetId="2">'Calc Default'!$U$7</definedName>
    <definedName name="ez_index" localSheetId="2">'Calc Default'!$A$163:$A$173</definedName>
    <definedName name="ez_table" localSheetId="2">'Calc Default'!$A$163:$B$173</definedName>
    <definedName name="Ez1_Row" localSheetId="2">'Calc Default'!#REF!</definedName>
    <definedName name="Ez2_Row" localSheetId="2">'Calc Default'!#REF!</definedName>
    <definedName name="First_Zone" localSheetId="2">'Calc Default'!#REF!</definedName>
    <definedName name="ITU_Row" localSheetId="2">'Calc Default'!#REF!</definedName>
    <definedName name="Last_zone" localSheetId="2">'Calc Default'!#REF!</definedName>
    <definedName name="Population_Diversity" localSheetId="2">'Calc Default'!$H$8</definedName>
    <definedName name="_xlnm.Print_Area" localSheetId="2">'Calc Default'!$A$1:$L$75</definedName>
    <definedName name="_xlnm.Print_Titles" localSheetId="2">'Calc Default'!$A:$J</definedName>
    <definedName name="Ps" localSheetId="2">'Calc Default'!$F$8</definedName>
    <definedName name="Ps_diversified" localSheetId="2">'Calc Default'!$J$8</definedName>
    <definedName name="ras" localSheetId="2">'Calc Default'!$F$10</definedName>
    <definedName name="rps" localSheetId="2">'Calc Default'!$F$11</definedName>
    <definedName name="Space_air_rates">'[1]Table 6-1 Rates'!$A$5:$F$94</definedName>
    <definedName name="Space_index">'[1]Table 6-1 Rates'!$A$5:$A$94</definedName>
    <definedName name="Space_Type_Row" localSheetId="2">'Calc Default'!#REF!</definedName>
    <definedName name="str_convert" localSheetId="2">'Calc Default'!$U$6</definedName>
    <definedName name="TU_units" localSheetId="2">'Calc Default'!$C$157:$C$160</definedName>
    <definedName name="V_ot_App_G" localSheetId="2">'Calc Default'!$J$63</definedName>
    <definedName name="V_ou" localSheetId="2">'Calc Default'!$J$44</definedName>
    <definedName name="Vot" localSheetId="2">'Calc Default'!$J$36</definedName>
    <definedName name="Vpsd" localSheetId="2">'Calc Default'!$F$9</definedName>
    <definedName name="Y_App_G" localSheetId="2">'Calc Default'!$J$64</definedName>
    <definedName name="Ypd" localSheetId="2">'Calc Default'!$J$39</definedName>
    <definedName name="Zone_Names_in_Use" localSheetId="2">'Calc Default'!#REF!</definedName>
    <definedName name="Zone_Names_Source" localSheetId="2">'Calc Default'!$B$192:$B$440</definedName>
    <definedName name="Zone_Names_Source_past3" localSheetId="2">'Calc Default'!$B$195:$B$440</definedName>
  </definedNames>
  <calcPr calcId="171027"/>
</workbook>
</file>

<file path=xl/calcChain.xml><?xml version="1.0" encoding="utf-8"?>
<calcChain xmlns="http://schemas.openxmlformats.org/spreadsheetml/2006/main">
  <c r="T8" i="34" l="1"/>
  <c r="P20" i="34"/>
  <c r="P19" i="34"/>
  <c r="P18" i="34"/>
  <c r="O48" i="34"/>
  <c r="O47" i="34"/>
  <c r="N48" i="34"/>
  <c r="N47" i="34"/>
  <c r="M48" i="34"/>
  <c r="M47" i="34"/>
  <c r="L27" i="34" l="1"/>
  <c r="L24" i="34"/>
  <c r="L22" i="34"/>
  <c r="K49" i="34"/>
  <c r="L49" i="34" s="1"/>
  <c r="M49" i="34" s="1"/>
  <c r="N49" i="34" s="1"/>
  <c r="O49" i="34" s="1"/>
  <c r="P49" i="34" s="1"/>
  <c r="K48" i="34"/>
  <c r="K47" i="34"/>
  <c r="K29" i="34"/>
  <c r="K28" i="34"/>
  <c r="K53" i="34" s="1"/>
  <c r="K26" i="34"/>
  <c r="M27" i="34" l="1"/>
  <c r="M24" i="34"/>
  <c r="N24" i="34" s="1"/>
  <c r="O24" i="34" s="1"/>
  <c r="P24" i="34"/>
  <c r="M22" i="34"/>
  <c r="L26" i="34"/>
  <c r="M26" i="34" s="1"/>
  <c r="K51" i="34"/>
  <c r="K50" i="34"/>
  <c r="K55" i="34"/>
  <c r="K54" i="34"/>
  <c r="L28" i="34"/>
  <c r="L29" i="34"/>
  <c r="L47" i="34"/>
  <c r="L48" i="34"/>
  <c r="N26" i="34" l="1"/>
  <c r="N22" i="34"/>
  <c r="M28" i="34"/>
  <c r="N27" i="34"/>
  <c r="M29" i="34"/>
  <c r="L50" i="34"/>
  <c r="M50" i="34" s="1"/>
  <c r="N50" i="34" s="1"/>
  <c r="O50" i="34" s="1"/>
  <c r="P50" i="34" s="1"/>
  <c r="K52" i="34"/>
  <c r="L51" i="34"/>
  <c r="L53" i="34"/>
  <c r="L55" i="34"/>
  <c r="L54" i="34"/>
  <c r="A158" i="34"/>
  <c r="A157" i="34"/>
  <c r="D65" i="34"/>
  <c r="D36" i="34" s="1"/>
  <c r="D63" i="34"/>
  <c r="C36" i="34"/>
  <c r="C35" i="34"/>
  <c r="E33" i="34"/>
  <c r="E32" i="34"/>
  <c r="E31" i="34"/>
  <c r="E30" i="34"/>
  <c r="E29" i="34"/>
  <c r="D29" i="34"/>
  <c r="D33" i="34" s="1"/>
  <c r="E27" i="34"/>
  <c r="E22" i="34"/>
  <c r="Q11" i="34"/>
  <c r="D11" i="34"/>
  <c r="D48" i="34" s="1"/>
  <c r="Q10" i="34"/>
  <c r="D10" i="34"/>
  <c r="D37" i="34" s="1"/>
  <c r="T9" i="34"/>
  <c r="Q9" i="34"/>
  <c r="F9" i="34"/>
  <c r="J9" i="34" s="1"/>
  <c r="D9" i="34"/>
  <c r="D51" i="34" s="1"/>
  <c r="Q8" i="34"/>
  <c r="V7" i="34"/>
  <c r="T7" i="34"/>
  <c r="F7" i="34"/>
  <c r="D7" i="34"/>
  <c r="D18" i="34" s="1"/>
  <c r="M54" i="34" l="1"/>
  <c r="M53" i="34"/>
  <c r="N29" i="34"/>
  <c r="O27" i="34"/>
  <c r="O29" i="34" s="1"/>
  <c r="O54" i="34" s="1"/>
  <c r="P27" i="34"/>
  <c r="O22" i="34"/>
  <c r="O28" i="34" s="1"/>
  <c r="O53" i="34" s="1"/>
  <c r="N28" i="34"/>
  <c r="N55" i="34"/>
  <c r="O26" i="34"/>
  <c r="M55" i="34"/>
  <c r="L70" i="34"/>
  <c r="M51" i="34"/>
  <c r="N51" i="34" s="1"/>
  <c r="O51" i="34" s="1"/>
  <c r="P51" i="34"/>
  <c r="K56" i="34"/>
  <c r="L52" i="34"/>
  <c r="M52" i="34" s="1"/>
  <c r="N52" i="34" s="1"/>
  <c r="O52" i="34" s="1"/>
  <c r="K57" i="34"/>
  <c r="J8" i="34"/>
  <c r="P8" i="34" s="1"/>
  <c r="P10" i="34"/>
  <c r="F10" i="34"/>
  <c r="F11" i="34"/>
  <c r="Q18" i="34"/>
  <c r="T11" i="34"/>
  <c r="D30" i="34"/>
  <c r="D74" i="34"/>
  <c r="P9" i="34"/>
  <c r="D47" i="34"/>
  <c r="R27" i="34"/>
  <c r="R28" i="34" s="1"/>
  <c r="J24" i="34" s="1"/>
  <c r="J43" i="34" s="1"/>
  <c r="D31" i="34"/>
  <c r="D32" i="34"/>
  <c r="D43" i="34"/>
  <c r="T10" i="34"/>
  <c r="Q20" i="34"/>
  <c r="D49" i="34"/>
  <c r="P11" i="34"/>
  <c r="D52" i="34"/>
  <c r="D20" i="34"/>
  <c r="D44" i="34"/>
  <c r="P22" i="34" l="1"/>
  <c r="N54" i="34"/>
  <c r="N53" i="34"/>
  <c r="O55" i="34"/>
  <c r="P26" i="34"/>
  <c r="L57" i="34"/>
  <c r="M57" i="34" s="1"/>
  <c r="N57" i="34" s="1"/>
  <c r="O57" i="34" s="1"/>
  <c r="L56" i="34"/>
  <c r="M56" i="34" s="1"/>
  <c r="N56" i="34" s="1"/>
  <c r="O56" i="34" s="1"/>
  <c r="P52" i="34"/>
  <c r="F37" i="34"/>
  <c r="J44" i="34"/>
  <c r="J45" i="34" s="1"/>
  <c r="O59" i="34" l="1"/>
  <c r="P56" i="34"/>
  <c r="P57" i="34"/>
  <c r="M59" i="34"/>
  <c r="N59" i="34"/>
  <c r="K59" i="34"/>
  <c r="L59" i="34"/>
  <c r="J60" i="34" l="1"/>
  <c r="J61" i="34"/>
  <c r="J58" i="34"/>
  <c r="J63" i="34" l="1"/>
  <c r="J64" i="34" s="1"/>
  <c r="J74" i="34" s="1"/>
  <c r="J65" i="34"/>
  <c r="J66" i="34" s="1"/>
  <c r="F35" i="34"/>
  <c r="E49" i="34"/>
  <c r="L65" i="34" l="1"/>
  <c r="L66" i="34"/>
  <c r="J36" i="34"/>
  <c r="J39" i="34" s="1"/>
  <c r="J35" i="34"/>
  <c r="L71" i="34" l="1"/>
  <c r="L72" i="34" s="1"/>
  <c r="J72" i="34" s="1"/>
  <c r="J38" i="34"/>
  <c r="J37" i="34"/>
  <c r="D54" i="12"/>
  <c r="D53" i="12"/>
  <c r="D49" i="12"/>
  <c r="D48" i="12"/>
  <c r="D47" i="12"/>
  <c r="D46" i="12"/>
  <c r="D45" i="12"/>
  <c r="D36" i="12"/>
  <c r="D34" i="12"/>
</calcChain>
</file>

<file path=xl/connections.xml><?xml version="1.0" encoding="utf-8"?>
<connections xmlns="http://schemas.openxmlformats.org/spreadsheetml/2006/main">
  <connection id="1" name="CSISD ES#10 Load" type="6" refreshedVersion="6" background="1" saveData="1">
    <textPr codePage="437" sourceFile="H:\LOAD CALC\CSISD ES#10 Load.txt" comma="1">
      <textFields count="1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<sst xmlns="http://schemas.openxmlformats.org/spreadsheetml/2006/main" count="2289" uniqueCount="642">
  <si>
    <r>
      <t xml:space="preserve">The outdoor air rate, </t>
    </r>
    <r>
      <rPr>
        <i/>
        <sz val="10"/>
        <rFont val="Arial"/>
        <family val="2"/>
      </rPr>
      <t>Vot</t>
    </r>
    <r>
      <rPr>
        <sz val="10"/>
        <rFont val="Arial"/>
        <family val="2"/>
      </rPr>
      <t>, divided by the net occupiable floor area, As</t>
    </r>
  </si>
  <si>
    <r>
      <t xml:space="preserve">The outdoor air rate, </t>
    </r>
    <r>
      <rPr>
        <i/>
        <sz val="10"/>
        <rFont val="Arial"/>
        <family val="2"/>
      </rPr>
      <t>Vot</t>
    </r>
    <r>
      <rPr>
        <sz val="10"/>
        <rFont val="Arial"/>
        <family val="2"/>
      </rPr>
      <t>, divided by the design primary supply air rate, Vpsd</t>
    </r>
  </si>
  <si>
    <t>OA fraction required in the supply air to the zone</t>
  </si>
  <si>
    <t>OA fraction required in the primary air to the zone</t>
  </si>
  <si>
    <t>Frac. of local recirc. air that is representative of system RA</t>
  </si>
  <si>
    <t>Occupancy Category</t>
  </si>
  <si>
    <t>Select from pull-down list:</t>
  </si>
  <si>
    <t>Select from pull-down list or leave blank if N/A:</t>
  </si>
  <si>
    <t xml:space="preserve">System Ventilation Efficiency </t>
  </si>
  <si>
    <t>System primary supply air flow at conditioned analyzed</t>
  </si>
  <si>
    <t>Uncorrected OA intake flow req'd for system</t>
  </si>
  <si>
    <t>Zone outdoor airflow</t>
  </si>
  <si>
    <t>Breathing zone outdoor airflow</t>
  </si>
  <si>
    <t>Area outdoor air rate</t>
  </si>
  <si>
    <t>People outdoor air rate</t>
  </si>
  <si>
    <t>System Ventilation Efficiency (Table 6.3 Method)</t>
  </si>
  <si>
    <t>The system ventilation efficiency</t>
  </si>
  <si>
    <t>The following inputs only apply for systems with economizers operating in cold weather (heating design) conditions</t>
  </si>
  <si>
    <t>The outdoor air temperature at the conditioned being analyzed, typically the heating design temperature.</t>
  </si>
  <si>
    <t>The primary supply air temperature setpoint at the conditioned being analyzed.  If the supply air temperature is reset in cold weather, enter the reset temperature.</t>
  </si>
  <si>
    <t>The return air temperature at the conditioned being analyzed</t>
  </si>
  <si>
    <t>Fan heat gain across the supply air fan (=fan BHP*2545/1.08/Vpsd)</t>
  </si>
  <si>
    <t>Vdzd</t>
  </si>
  <si>
    <t>Fan heat gain across the return air fan (=fan BHP*2545/1.08/Vr)</t>
  </si>
  <si>
    <t>The design outdoor air intake rate required for the system</t>
  </si>
  <si>
    <t xml:space="preserve">This spreadsheet is primarily intended to be used to determine the ventilation rate for ventilation systems that serve multiple zones and that recirculate air from one or more zones to other zones.  Typical examples are variable air volume (VAV) systems.  The spreadsheet may also be used for all other ventilation system types as well - it is not limited to multiple zone systems.  </t>
  </si>
  <si>
    <t>Bars, cocktail lounges</t>
  </si>
  <si>
    <t>Corridors</t>
  </si>
  <si>
    <t>Storage rooms</t>
  </si>
  <si>
    <t>Barracks sleeping areas</t>
  </si>
  <si>
    <t>Reception areas</t>
  </si>
  <si>
    <t>Main entry lobbies</t>
  </si>
  <si>
    <t>Computer (not printing)</t>
  </si>
  <si>
    <t>Pharmacy (prep. area)</t>
  </si>
  <si>
    <t>Photo studios</t>
  </si>
  <si>
    <t>Transportation waiting</t>
  </si>
  <si>
    <t>Warehouses</t>
  </si>
  <si>
    <t>Auditorium seating area</t>
  </si>
  <si>
    <t>Courtrooms</t>
  </si>
  <si>
    <t>Legislative chambers</t>
  </si>
  <si>
    <t>Libraries</t>
  </si>
  <si>
    <t>Lobbies</t>
  </si>
  <si>
    <t>Sales (except as below)</t>
  </si>
  <si>
    <t>Mall common areas</t>
  </si>
  <si>
    <t>Beauty and nail salons</t>
  </si>
  <si>
    <t>Pet shops (animal areas)</t>
  </si>
  <si>
    <t>Supermarket</t>
  </si>
  <si>
    <t>Office space</t>
  </si>
  <si>
    <t>Sports arena (play area)</t>
  </si>
  <si>
    <t>Gym, stadium (play area)</t>
  </si>
  <si>
    <t>Vot</t>
  </si>
  <si>
    <t>Fa</t>
  </si>
  <si>
    <t>Fb</t>
  </si>
  <si>
    <t>Fc</t>
  </si>
  <si>
    <t>Vdz</t>
  </si>
  <si>
    <t>Ep</t>
  </si>
  <si>
    <t>Xs</t>
  </si>
  <si>
    <t>Voz</t>
  </si>
  <si>
    <t>Ev</t>
  </si>
  <si>
    <t>Spectator areas</t>
  </si>
  <si>
    <t>Swimming (pool &amp; deck)</t>
  </si>
  <si>
    <t>Bowling alley (seating)</t>
  </si>
  <si>
    <t>Gambling casinos</t>
  </si>
  <si>
    <t>Game arcades</t>
  </si>
  <si>
    <t>Stages, studios</t>
  </si>
  <si>
    <t>Ps</t>
  </si>
  <si>
    <t>Cell</t>
  </si>
  <si>
    <t>Guard stations</t>
  </si>
  <si>
    <t>Booking/waiting</t>
  </si>
  <si>
    <t>Daycare (through age 4)</t>
  </si>
  <si>
    <t>Classrooms (age 9 plus)</t>
  </si>
  <si>
    <t>Art classroom</t>
  </si>
  <si>
    <t>Science laboratories</t>
  </si>
  <si>
    <t>Wood/metal shop</t>
  </si>
  <si>
    <t>Er</t>
  </si>
  <si>
    <t>Ez</t>
  </si>
  <si>
    <t>Vou</t>
  </si>
  <si>
    <t>Vps</t>
  </si>
  <si>
    <t>Az</t>
  </si>
  <si>
    <t>Pz</t>
  </si>
  <si>
    <t>Restaurant dining rooms</t>
  </si>
  <si>
    <t>SI</t>
  </si>
  <si>
    <t>System</t>
  </si>
  <si>
    <t>Inputs for System</t>
  </si>
  <si>
    <t>Floor area served by system</t>
  </si>
  <si>
    <t>As</t>
  </si>
  <si>
    <t>P</t>
  </si>
  <si>
    <t>Design primary supply fan airflow rate</t>
  </si>
  <si>
    <t>%</t>
  </si>
  <si>
    <t>Ras</t>
  </si>
  <si>
    <t>Rps</t>
  </si>
  <si>
    <t>Inputs for Potentially Critical zones</t>
  </si>
  <si>
    <t>Zone title turns purple italic for critical zone(s)</t>
  </si>
  <si>
    <t>Floor Area of zone</t>
  </si>
  <si>
    <t>Total supply air to zone (at condition being analyzed)</t>
  </si>
  <si>
    <t>=</t>
  </si>
  <si>
    <t>Initial Calculations for the System as a whole</t>
  </si>
  <si>
    <t>Uncorrected OA req'd as a fraction of primary SA</t>
  </si>
  <si>
    <t>Initial Calculations for individual zones</t>
  </si>
  <si>
    <t>Vbz</t>
  </si>
  <si>
    <t>Fraction of zone supply not directly recirc. from zone</t>
  </si>
  <si>
    <t>Fraction of zone supply from fully mixed primary air</t>
  </si>
  <si>
    <t>Fraction of zone OA not directly recirc. from zone</t>
  </si>
  <si>
    <t>1-(1-Ez)(1-Ep)(1-Er)</t>
  </si>
  <si>
    <t>System Ventilation Efficiency</t>
  </si>
  <si>
    <t>Evz</t>
  </si>
  <si>
    <t>Value from Table 6.3</t>
  </si>
  <si>
    <t>Minimum outdoor air intake airflow</t>
  </si>
  <si>
    <t>Outdoor Air Intake Flow required to System</t>
  </si>
  <si>
    <t>Vou / Ev</t>
  </si>
  <si>
    <t>OA intake req'd as a fraction of primary SA</t>
  </si>
  <si>
    <t>Y</t>
  </si>
  <si>
    <t>Vot / Vps</t>
  </si>
  <si>
    <t>OA Temp at which Min OA provides all cooling</t>
  </si>
  <si>
    <t>Supply Air Temperature</t>
  </si>
  <si>
    <t>Tp</t>
  </si>
  <si>
    <t>Return Air Temperature</t>
  </si>
  <si>
    <t>Tr</t>
  </si>
  <si>
    <t>Supply Fan Heat Gain</t>
  </si>
  <si>
    <t>dTsf</t>
  </si>
  <si>
    <t>Return Fan Heat Gain</t>
  </si>
  <si>
    <t>dTrf</t>
  </si>
  <si>
    <t>OAT below which OA Intake flow is @ minimum</t>
  </si>
  <si>
    <t>{(Tp-dTsf)-(1-Y)*(Tr+dTrf)}/Y</t>
  </si>
  <si>
    <t>Name</t>
  </si>
  <si>
    <t>Units</t>
  </si>
  <si>
    <t>Operating Condition Description:</t>
  </si>
  <si>
    <t>Building:</t>
  </si>
  <si>
    <t>System Tag/Name:</t>
  </si>
  <si>
    <t>Inputs for Operating Condition Analyzed</t>
  </si>
  <si>
    <t>OA req'd per unit area for system (Weighted average)</t>
  </si>
  <si>
    <t>OA req'd per person for system area  (Weighted average)</t>
  </si>
  <si>
    <t>Hidden stuff for data validation</t>
  </si>
  <si>
    <t>Units (select from pull-down list)</t>
  </si>
  <si>
    <t>Zone Name</t>
  </si>
  <si>
    <t xml:space="preserve">Design population of zone </t>
  </si>
  <si>
    <t>Yes</t>
  </si>
  <si>
    <t>No</t>
  </si>
  <si>
    <t>Zone air distribution effectiveness at conditioned analyzed</t>
  </si>
  <si>
    <t>Inputs for Systems with Outdoor Air Economizers</t>
  </si>
  <si>
    <t xml:space="preserve">Space type </t>
  </si>
  <si>
    <t>Select from pull-down list</t>
  </si>
  <si>
    <t xml:space="preserve">Outdoor air Temperature </t>
  </si>
  <si>
    <t>Toa</t>
  </si>
  <si>
    <t>Does system have Outdoor Air Economizer</t>
  </si>
  <si>
    <t>Results</t>
  </si>
  <si>
    <t>Outdoor air intake required for system</t>
  </si>
  <si>
    <t>Outdoor air as a % of primary supply air</t>
  </si>
  <si>
    <t>Detailed Calculations</t>
  </si>
  <si>
    <t>Voz / Vdz</t>
  </si>
  <si>
    <t>Design total supply to zone (primary plus local recirculated)</t>
  </si>
  <si>
    <t>Primary air fraction of supply air at conditioned analyzed</t>
  </si>
  <si>
    <t>IP</t>
  </si>
  <si>
    <t>Percent of total design airflow rate at conditioned analyzed</t>
  </si>
  <si>
    <t>Zone Tag</t>
  </si>
  <si>
    <t>average</t>
  </si>
  <si>
    <t>Outdoor air per unit floor area</t>
  </si>
  <si>
    <t>Lecture classroom</t>
  </si>
  <si>
    <t>Lecture hall (fixed seats)</t>
  </si>
  <si>
    <t>Computer lab</t>
  </si>
  <si>
    <t>Media center</t>
  </si>
  <si>
    <t>Multi-use assembly</t>
  </si>
  <si>
    <t>Museums (children’s)</t>
  </si>
  <si>
    <t>Coin-operated laundries</t>
  </si>
  <si>
    <t>Default Occupant Density</t>
  </si>
  <si>
    <t>(default value listed; may be overridden)</t>
  </si>
  <si>
    <t>Directions for using the 62MZCalc spreadsheet</t>
  </si>
  <si>
    <t>Describe the design condition being analyzed.  At least the peak cooling and peak heating condition must be evaluated</t>
  </si>
  <si>
    <t>sf or sm</t>
  </si>
  <si>
    <t>cfm or l/s</t>
  </si>
  <si>
    <t>cfm/sf or l/s/sm</t>
  </si>
  <si>
    <t>cfm/p or l/s/p</t>
  </si>
  <si>
    <t>Description</t>
  </si>
  <si>
    <t>Building name or description</t>
  </si>
  <si>
    <t>Ventilation system unit tag, such as AHU-1</t>
  </si>
  <si>
    <t>Choose either IP (inch-pound) or SI (Systeme Internationale) from a pull-down list</t>
  </si>
  <si>
    <t>Check Figures</t>
  </si>
  <si>
    <t>total P</t>
  </si>
  <si>
    <t>Vpsd</t>
  </si>
  <si>
    <t>Choose either Yes or No from a pull-down list.  This switch is used to evaluate if in the heating condition the outdoor air rate provided by the economizer controls would exceed the minimum outdoor air required.  If so, a flag will indicate that the analyzed condition is not "critical," meaning it will not fix the minimum outdoor air rate.</t>
  </si>
  <si>
    <t>Ventilation zone tag, typically the terminal unit such as VAV-1.  This cell turns purple italic for critical zone(s) (those that are determining the outdoor air rate).</t>
  </si>
  <si>
    <t>Zone net occupiable floor area</t>
  </si>
  <si>
    <t>The design population of the zone.  This will default to the number of people calculated using the default occupant density in Table 6-1.  It may be overridden to the actual number of people expected to occupy the zone, which in turn may be reduced using time averaging where applicable.</t>
  </si>
  <si>
    <t xml:space="preserve">Induction Terminal Unit, Dual Fan Dual Duct or Transfer Fan? </t>
  </si>
  <si>
    <t xml:space="preserve">Select from pull-down list either ITU (induction terminal unit, such as a series or parallel fan-powered mixing box or system-powered induction unit, which can supply air to the zone from a ceiling return air plenum or from another ventilated space), DFDD (dual fan dual duct system, which in addition to the primary ventilation cooling fan includes a parallel heating fan that can supply recirculated air to the zone), or TF (transfer fan, which is a fan that supplies or induces transfer air into the room from another ventilated space).  If none of these apply (such as single duct systems or single fan dual duct systems), leave this cell blank (or delete the entry in the cell).  </t>
  </si>
  <si>
    <t>The design total rate of air supplied to the space including primary air (air from the AHU that has the outdoor air intake) and air transferred or recirculated from other spaces.  Examples of transfer air include: air induced from adjacent spaces with an exhaust fan or induction terminal unit, air supplied by a terminal fan (e.g. fan-powered mixing box), or air supplied by the heating fan of a dual duct system.</t>
  </si>
  <si>
    <t>Zd</t>
  </si>
  <si>
    <t>Voz / Vpz</t>
  </si>
  <si>
    <t>Maximum Zd</t>
  </si>
  <si>
    <t>Outdoor air as a % of design primary supply air</t>
  </si>
  <si>
    <t>Ypd</t>
  </si>
  <si>
    <t>Outdoor air per person served by system (including diversity)</t>
  </si>
  <si>
    <t>cfm/p</t>
  </si>
  <si>
    <t>cfm</t>
  </si>
  <si>
    <t>Percent of design</t>
  </si>
  <si>
    <t>Primary airflow rate to zones</t>
  </si>
  <si>
    <t xml:space="preserve">The system building area component rate.  If this differs among zones, weight the area component for each zone by the area of each zone.  The weighted average of zones entered below is shown in the Check Figure column in this row to the right of the last zone and is the default value entered in this cell.  However, not all zones must be analyzed so this average may not be equal to Ras.  </t>
  </si>
  <si>
    <t xml:space="preserve">The system occupant component rate.  If this differs among zones, weight the occupant component for each zone by the area of each zone.  The weighted average of zones entered below is shown in the Check Figure column in this row to the right of the last zone and is the default value entered in this cell.  However, not all zones must be analyzed so this average may not be equal to Rps.  </t>
  </si>
  <si>
    <t>Ez Table</t>
  </si>
  <si>
    <t xml:space="preserve"> </t>
  </si>
  <si>
    <t>CS                   Ceiling supply of cool air</t>
  </si>
  <si>
    <t>CSCRH            Ceiling supply of warm air 15°F (8°C) or more above space temperature and ceiling return.</t>
  </si>
  <si>
    <t>CSCRW           Ceiling supply of warm air less than 15°F (8°C) above space temperature and ceiling return provided that the 150 fpm (0.8 m/s) supply air jet reaches to within 4.5 ft (1.4 m) of floor level. Note: For lower velocity supply air, Ez = 0.8.</t>
  </si>
  <si>
    <t>CSFR               Ceiling supply of warm air and floor return</t>
  </si>
  <si>
    <t>FSCR               Floor supply of cool air and ceiling return provided that the 150 fpm (0.8 m/s) supply jet reaches 4.5 ft (1.4 m) or more above the floor. Note: Most underfloor air distribution systems comply with this proviso.</t>
  </si>
  <si>
    <t>FSCR LV         Floor supply of cool air and ceiling return, provided lowvelocity displacement ventilation achieves unidirectional flow and thermal stratification</t>
  </si>
  <si>
    <t>FSCRW           Floor supply of warm air and ceiling return</t>
  </si>
  <si>
    <t>FSFR                Floor supply of warm air and floor return</t>
  </si>
  <si>
    <t>MUEX               Makeup supply drawn in near to the exhaust and/or return location</t>
  </si>
  <si>
    <t>MU--EX           Makeup supply drawn in on the opposite side of the room from the exhaust and/or return</t>
  </si>
  <si>
    <t>CS</t>
  </si>
  <si>
    <t>CSCRH</t>
  </si>
  <si>
    <t>CSCRW</t>
  </si>
  <si>
    <t>CSFR</t>
  </si>
  <si>
    <t>FSCR</t>
  </si>
  <si>
    <t>FSCR LV</t>
  </si>
  <si>
    <t>FSCRW</t>
  </si>
  <si>
    <t>FSFR</t>
  </si>
  <si>
    <t>MUEX</t>
  </si>
  <si>
    <t>MU--EX</t>
  </si>
  <si>
    <t>Time-averaging</t>
  </si>
  <si>
    <t>Time period over which averaging can take place</t>
  </si>
  <si>
    <t>Time period with high occupancy</t>
  </si>
  <si>
    <t>T</t>
  </si>
  <si>
    <t>min</t>
  </si>
  <si>
    <t>3 v / Vbz</t>
  </si>
  <si>
    <t>Th</t>
  </si>
  <si>
    <t>Room height</t>
  </si>
  <si>
    <t>h</t>
  </si>
  <si>
    <t>ft</t>
  </si>
  <si>
    <t>Error flag</t>
  </si>
  <si>
    <t>Error - sum of all values above will show error</t>
  </si>
  <si>
    <t>cell used for string conversion</t>
  </si>
  <si>
    <t>Show Values per Zone Button</t>
  </si>
  <si>
    <r>
      <t xml:space="preserve">The spreadsheet is initially configured for 2 zones.  If additional zones are to be evaluated, click the ADD ZONE button.  Do not add zones by manually inserting columns since it may result in </t>
    </r>
    <r>
      <rPr>
        <sz val="10"/>
        <rFont val="Geneva"/>
      </rPr>
      <t>calculation range errors.</t>
    </r>
  </si>
  <si>
    <t>Air distribution type at conditioned analyzed</t>
  </si>
  <si>
    <t>Zone Ventilation Efficiency (App A Method)</t>
  </si>
  <si>
    <t>System Ventilation Efficiency (App A Method)</t>
  </si>
  <si>
    <t>Outdoor Air Intake Flow required to System (Table 6.3 Method)</t>
  </si>
  <si>
    <t>OA intake req'd as a fraction of primary SA (Table 6.3 Method)</t>
  </si>
  <si>
    <t>Description of ventilation zone.  This cell turns purple italic for critical zone(s) (those that are determining the outdoor air rate).  Note that a ventilation zone may not be the same as a thermal zone (see Standard for definition).</t>
  </si>
  <si>
    <t>Custom            Air Change Effectiveness from ASHRAE Standard 129</t>
  </si>
  <si>
    <t>This button displays each zone input values as well as resulting system values.  It provides an optional way to enter and view data and is particularly handy when there are many zones</t>
  </si>
  <si>
    <t>Temporary Use:</t>
  </si>
  <si>
    <t>Zone names that are in use, for the column deletion routine</t>
  </si>
  <si>
    <t>The names in this list get pasted from the main spreadsheet, and transposed to go horizontal-&gt; vertical</t>
  </si>
  <si>
    <t>The resulting range gets copied into the delete dialog</t>
  </si>
  <si>
    <t>Dayroom</t>
  </si>
  <si>
    <t>Daycare sickroom</t>
  </si>
  <si>
    <t>Classrooms (ages 5–8)</t>
  </si>
  <si>
    <t>Music/theater/dance</t>
  </si>
  <si>
    <t>Cafeteria/fast-food dining</t>
  </si>
  <si>
    <t>Break rooms</t>
  </si>
  <si>
    <t>Coffee stations</t>
  </si>
  <si>
    <t>Conference/meeting</t>
  </si>
  <si>
    <t>Bedroom/living room</t>
  </si>
  <si>
    <t>Laundry rooms, central</t>
  </si>
  <si>
    <t>Lobbies/prefunction</t>
  </si>
  <si>
    <t>Multipurpose assembly</t>
  </si>
  <si>
    <t>Telephone/data entry</t>
  </si>
  <si>
    <t>Bank vaults/safe deposit</t>
  </si>
  <si>
    <t>Electrical equipment rooms</t>
  </si>
  <si>
    <t>Elevator machine rooms</t>
  </si>
  <si>
    <t>Shipping/receiving</t>
  </si>
  <si>
    <t>Telephone closets</t>
  </si>
  <si>
    <t>Places of religious worship</t>
  </si>
  <si>
    <t>Museums/galleries</t>
  </si>
  <si>
    <t>Dwelling unit</t>
  </si>
  <si>
    <t>Common corridors</t>
  </si>
  <si>
    <t>Barbershop</t>
  </si>
  <si>
    <t>Disco/dance floors</t>
  </si>
  <si>
    <t>Health club/aerobics room</t>
  </si>
  <si>
    <t>Health club/weight rooms</t>
  </si>
  <si>
    <t>University/college laboratories</t>
  </si>
  <si>
    <t>Laundry rooms within dwelling units</t>
  </si>
  <si>
    <t>Banks or bank lobbies</t>
  </si>
  <si>
    <t>General manufacturing (excludes heavy industrial and processes using chemicals)</t>
  </si>
  <si>
    <t>Kitchen (cooking)</t>
  </si>
  <si>
    <t>Occupiable storage rooms for liquids or gels</t>
  </si>
  <si>
    <t>Occupiable storage rooms for dry materials</t>
  </si>
  <si>
    <t>Sorting, packing, light assembly</t>
  </si>
  <si>
    <t>Standard 62.1-2010 Outdoor Air Rates (Table 6-1)</t>
  </si>
  <si>
    <t>Ra</t>
  </si>
  <si>
    <t>Rp</t>
  </si>
  <si>
    <t>Rp Pz + Ra Az</t>
  </si>
  <si>
    <t>Zpz</t>
  </si>
  <si>
    <t>Vpz</t>
  </si>
  <si>
    <t>Vdz Ep</t>
  </si>
  <si>
    <t>(Fa+FbXs-FcZpzEp)/Fa</t>
  </si>
  <si>
    <t>Primary airflow to zone (at condition being analyzed)</t>
  </si>
  <si>
    <r>
      <t>Vot</t>
    </r>
    <r>
      <rPr>
        <sz val="10"/>
        <rFont val="Arial"/>
        <family val="2"/>
      </rPr>
      <t>/As</t>
    </r>
  </si>
  <si>
    <r>
      <t>Vot</t>
    </r>
    <r>
      <rPr>
        <sz val="10"/>
        <rFont val="Arial"/>
        <family val="2"/>
      </rPr>
      <t>/Ps</t>
    </r>
  </si>
  <si>
    <r>
      <t xml:space="preserve">Rps </t>
    </r>
    <r>
      <rPr>
        <i/>
        <sz val="10"/>
        <rFont val="Arial"/>
        <family val="2"/>
      </rPr>
      <t>Ps</t>
    </r>
    <r>
      <rPr>
        <sz val="10"/>
        <rFont val="Arial"/>
        <family val="2"/>
      </rPr>
      <t xml:space="preserve"> + Ras As</t>
    </r>
  </si>
  <si>
    <r>
      <t>Vou</t>
    </r>
    <r>
      <rPr>
        <sz val="10"/>
        <rFont val="Arial"/>
        <family val="2"/>
      </rPr>
      <t xml:space="preserve"> / </t>
    </r>
    <r>
      <rPr>
        <i/>
        <sz val="10"/>
        <rFont val="Arial"/>
        <family val="2"/>
      </rPr>
      <t>Vps</t>
    </r>
  </si>
  <si>
    <t>Vbz / Ez</t>
  </si>
  <si>
    <t>Ep + (1-Ep) Er</t>
  </si>
  <si>
    <r>
      <t>min (</t>
    </r>
    <r>
      <rPr>
        <i/>
        <sz val="10"/>
        <rFont val="Arial"/>
        <family val="2"/>
      </rPr>
      <t>Evz</t>
    </r>
    <r>
      <rPr>
        <sz val="10"/>
        <rFont val="Arial"/>
        <family val="2"/>
      </rPr>
      <t>)</t>
    </r>
  </si>
  <si>
    <r>
      <t xml:space="preserve">Maximum </t>
    </r>
    <r>
      <rPr>
        <i/>
        <sz val="10"/>
        <rFont val="Arial"/>
        <family val="2"/>
      </rPr>
      <t>Zpz</t>
    </r>
  </si>
  <si>
    <r>
      <t>Er</t>
    </r>
    <r>
      <rPr>
        <sz val="10"/>
        <rFont val="Arial"/>
        <family val="2"/>
      </rPr>
      <t xml:space="preserve"> for ITU/TF</t>
    </r>
  </si>
  <si>
    <r>
      <t>Ep</t>
    </r>
    <r>
      <rPr>
        <sz val="10"/>
        <rFont val="Arial"/>
        <family val="2"/>
      </rPr>
      <t xml:space="preserve"> for ITU/DFDD/TF</t>
    </r>
  </si>
  <si>
    <r>
      <t xml:space="preserve">The spreadsheet is initially configured with one worksheet for </t>
    </r>
    <r>
      <rPr>
        <i/>
        <sz val="10"/>
        <rFont val="Arial"/>
        <family val="2"/>
      </rPr>
      <t>Vot</t>
    </r>
    <r>
      <rPr>
        <sz val="10"/>
        <rFont val="Arial"/>
        <family val="2"/>
      </rPr>
      <t xml:space="preserve"> Calculations.  To examine different scenarios (e.g. design cooling and design heating), enter all data for one condition then copy this file to a new file.  (Copying the worksheet into a new worksheet in the same file is also acceptable but macro buttons will only work in the original worksheet).  </t>
    </r>
  </si>
  <si>
    <t>Note: This spreadsheet relies on Visual Basic macros in order to function properly. Be sure to enable macros. In older versions of Excel, go to Tools --&gt; Macro --&gt; Security. In Excel 2007, go to Office Button --&gt; Excel Options --&gt; Trust Center --&gt; Trust Center Settings --&gt; Macro Settings. Also note that Excel 2007 does not directly support the conversion of macros that were written in earlier versions of Excel. A VBA Converter Pack may be required to use this spreadsheet in Excel 2007. See www.microsoft.com for more information.</t>
  </si>
  <si>
    <r>
      <t xml:space="preserve">The ratio of </t>
    </r>
    <r>
      <rPr>
        <i/>
        <sz val="10"/>
        <rFont val="Arial"/>
        <family val="2"/>
      </rPr>
      <t>Vpz</t>
    </r>
    <r>
      <rPr>
        <sz val="10"/>
        <rFont val="Arial"/>
        <family val="2"/>
      </rPr>
      <t xml:space="preserve"> to </t>
    </r>
    <r>
      <rPr>
        <i/>
        <sz val="10"/>
        <rFont val="Arial"/>
        <family val="2"/>
      </rPr>
      <t>Vdz</t>
    </r>
    <r>
      <rPr>
        <sz val="10"/>
        <rFont val="Arial"/>
        <family val="2"/>
      </rPr>
      <t xml:space="preserve">.  </t>
    </r>
    <r>
      <rPr>
        <i/>
        <sz val="10"/>
        <rFont val="Arial"/>
        <family val="2"/>
      </rPr>
      <t>Vpz</t>
    </r>
    <r>
      <rPr>
        <sz val="10"/>
        <rFont val="Arial"/>
        <family val="2"/>
      </rPr>
      <t xml:space="preserve"> is the primary airflow supplied to the zone from the air handling unit at which the outdoor air intake is located. It does not include air transferred or air recirculated to the zone by other means.  For VAV-system design purposes, </t>
    </r>
    <r>
      <rPr>
        <i/>
        <sz val="10"/>
        <rFont val="Arial"/>
        <family val="2"/>
      </rPr>
      <t>Vpz</t>
    </r>
    <r>
      <rPr>
        <sz val="10"/>
        <rFont val="Arial"/>
        <family val="2"/>
      </rPr>
      <t xml:space="preserve"> is the lowest zone primary airflow value expected at the condition analyzed. 
For a single duct system, this value is 1.0.  For a fan-powered mixing box system, </t>
    </r>
    <r>
      <rPr>
        <i/>
        <sz val="10"/>
        <rFont val="Arial"/>
        <family val="2"/>
      </rPr>
      <t>Vpz</t>
    </r>
    <r>
      <rPr>
        <sz val="10"/>
        <rFont val="Arial"/>
        <family val="2"/>
      </rPr>
      <t xml:space="preserve"> is the supply air rate through the VAV damper but does not include the air supplied to the space by the terminal fan that is drawn from the return air plenum.  For a dual fan dual duct terminal unit, </t>
    </r>
    <r>
      <rPr>
        <i/>
        <sz val="10"/>
        <rFont val="Arial"/>
        <family val="2"/>
      </rPr>
      <t>Vpz</t>
    </r>
    <r>
      <rPr>
        <sz val="10"/>
        <rFont val="Arial"/>
        <family val="2"/>
      </rPr>
      <t xml:space="preserve"> is the cold duct air but does not include air supplied by the heating fan.</t>
    </r>
  </si>
  <si>
    <t>Percent increase in Vbz over minimum required</t>
  </si>
  <si>
    <t>Population of area served by system</t>
  </si>
  <si>
    <t>D</t>
  </si>
  <si>
    <t>Diversity</t>
  </si>
  <si>
    <t>Default totals/averages</t>
  </si>
  <si>
    <t>The total floor area served by the system. The total of zones entered below is shown to the right of the last zone and it is entered here as a default. However, not all zones must be analyzed so this total may not be equal to As. The user should override the default value if not all zones are analyzed.</t>
  </si>
  <si>
    <r>
      <t xml:space="preserve">This value increases breathing zone ventilation as a percentage over the minimum required by the standard. For example, to calculate the ventilation needed to meet the requirements of </t>
    </r>
    <r>
      <rPr>
        <i/>
        <sz val="10"/>
        <rFont val="Arial"/>
        <family val="2"/>
      </rPr>
      <t>LEED Indoor Environmental Quality (EQ) Credit 2: Increased Ventilation</t>
    </r>
    <r>
      <rPr>
        <sz val="10"/>
        <rFont val="Arial"/>
        <family val="2"/>
      </rPr>
      <t>, enter a value of 30% in this field.</t>
    </r>
  </si>
  <si>
    <r>
      <t>Rp</t>
    </r>
    <r>
      <rPr>
        <b/>
        <sz val="9"/>
        <rFont val="Arial"/>
        <family val="2"/>
      </rPr>
      <t xml:space="preserve"> (cfm/per)</t>
    </r>
  </si>
  <si>
    <r>
      <t>Ra</t>
    </r>
    <r>
      <rPr>
        <b/>
        <sz val="9"/>
        <rFont val="Arial"/>
        <family val="2"/>
      </rPr>
      <t xml:space="preserve"> (cfm/ft2)</t>
    </r>
  </si>
  <si>
    <r>
      <t>Rp</t>
    </r>
    <r>
      <rPr>
        <b/>
        <sz val="9"/>
        <rFont val="Arial"/>
        <family val="2"/>
      </rPr>
      <t xml:space="preserve">
(L/s-per)</t>
    </r>
  </si>
  <si>
    <r>
      <t>Ra</t>
    </r>
    <r>
      <rPr>
        <b/>
        <sz val="9"/>
        <rFont val="Arial"/>
        <family val="2"/>
      </rPr>
      <t xml:space="preserve"> (L/s-m2)</t>
    </r>
  </si>
  <si>
    <r>
      <t>#/1000 ft</t>
    </r>
    <r>
      <rPr>
        <b/>
        <vertAlign val="superscript"/>
        <sz val="9"/>
        <rFont val="Arial"/>
        <family val="2"/>
      </rPr>
      <t xml:space="preserve">2 </t>
    </r>
    <r>
      <rPr>
        <b/>
        <sz val="9"/>
        <rFont val="Arial"/>
        <family val="2"/>
      </rPr>
      <t>(#/100 m</t>
    </r>
    <r>
      <rPr>
        <b/>
        <vertAlign val="superscript"/>
        <sz val="9"/>
        <rFont val="Arial"/>
        <family val="2"/>
      </rPr>
      <t>2)</t>
    </r>
  </si>
  <si>
    <t>Extra fields to add additional occupancy categories that may be established by new addenda to the standard.</t>
  </si>
  <si>
    <t>Select an occupancy category from a pull-down list.  The Categories are as listed in Table 6-1. Additional rows at the bottom of the table may be used to add new occupancy categories that are established by addenda to the standard.</t>
  </si>
  <si>
    <t>w/o diversity</t>
  </si>
  <si>
    <t>w/ diversity</t>
  </si>
  <si>
    <t>Ds</t>
  </si>
  <si>
    <t>May need to manually edit Ds:</t>
  </si>
  <si>
    <r>
      <t xml:space="preserve">Descriptions of each input variable on the "Vot Calculation" tab are listed below. Variables shown in </t>
    </r>
    <r>
      <rPr>
        <i/>
        <sz val="10"/>
        <rFont val="Arial"/>
        <family val="2"/>
      </rPr>
      <t>italics</t>
    </r>
    <r>
      <rPr>
        <sz val="10"/>
        <rFont val="Arial"/>
        <family val="2"/>
      </rPr>
      <t xml:space="preserve"> are defined in Standard 62.1-2010. Other variables are used here for convenience and clarity but are not officially defined in the standard. </t>
    </r>
  </si>
  <si>
    <t>Editable fields on the "Vot Calculation" are highlighted in yellow.</t>
  </si>
  <si>
    <r>
      <t xml:space="preserve">This spreadsheet is easier to use if all zones served by the system are entered -- critical zones are then determined automatically and the spreadsheet automatically determines system level inputs by summing values for the zones.  However, both the spreadsheet and the Standard allow the user to enter </t>
    </r>
    <r>
      <rPr>
        <u/>
        <sz val="10"/>
        <rFont val="Arial"/>
        <family val="2"/>
      </rPr>
      <t>only</t>
    </r>
    <r>
      <rPr>
        <sz val="10"/>
        <rFont val="Arial"/>
        <family val="2"/>
      </rPr>
      <t xml:space="preserve"> those zones that are anticipated to be the critical zones under the operating scenarios to be analyzed.  In this case, the user must override system level inputs as described below.</t>
    </r>
  </si>
  <si>
    <r>
      <t xml:space="preserve">The total number of people served by the system.  The total number of people of zones entered below is shown to the right of the last zone and is entered here as a default for system population w/o diversity.  However, not all zones must be analyzed so this total may not be equal to </t>
    </r>
    <r>
      <rPr>
        <i/>
        <sz val="10"/>
        <rFont val="Arial"/>
        <family val="2"/>
      </rPr>
      <t>Ps</t>
    </r>
    <r>
      <rPr>
        <sz val="10"/>
        <rFont val="Arial"/>
        <family val="2"/>
      </rPr>
      <t xml:space="preserve">. The user should override the default value if not all zones are analyzed.  If all zones are entered, occupant diversity may be and usually is taken into account (not all zones will be simultaneously occupied).  The system population, </t>
    </r>
    <r>
      <rPr>
        <i/>
        <sz val="10"/>
        <rFont val="Arial"/>
        <family val="2"/>
      </rPr>
      <t>Ps</t>
    </r>
    <r>
      <rPr>
        <sz val="10"/>
        <rFont val="Arial"/>
        <family val="2"/>
      </rPr>
      <t xml:space="preserve">, is calculated by multiplying the non-diversified total by the diversity factor, </t>
    </r>
    <r>
      <rPr>
        <i/>
        <sz val="10"/>
        <rFont val="Arial"/>
        <family val="2"/>
      </rPr>
      <t>D</t>
    </r>
    <r>
      <rPr>
        <sz val="10"/>
        <rFont val="Arial"/>
        <family val="2"/>
      </rPr>
      <t>, which can be entered in cell H/8.</t>
    </r>
  </si>
  <si>
    <t>The design system primary airflow rate supplied to all zones served by the system from the air handling unit at which the outdoor air intake is located.  The total primary airflow of zones entered below is shown to the right of the last zone and is entered here as a default.  However, not all zones must be analyzed so this total may not be equal to Vpsd.  The user should override the default value if not all zones are analyzed. If all zones are entered, Vpsd may include a zone load diversity, which can be entered in cell H/9. For dual fan dual duct systems with outdoor air only supplied to the cooling fan, Vpsd is the cooling fan design airflow rate; if outdoor air is supplied equally to the heating and cooling fans, enter the sum of the two fan airflow rates.</t>
  </si>
  <si>
    <t>Revised June, 2010</t>
  </si>
  <si>
    <t xml:space="preserve">Not all zones need to be analyzed, only those that are potentially the critical zones.  The following provides some guidance in selecting zones for analysis :
* Cooling Condition:  For single duct systems, the zones most likely to be critical are those with low cooling loads and high occupancy loads.  For example, in office buildings, interior conference rooms are almost always the critical zone.   Exterior conference rooms with north exposures or shaded glass are also likely candidates.  Zones with high envelope cooling loads (e.g. south and west zones) seldom are critical due to their high supply air rates.  Zones with low occupant density are also seldom critical zones.
* Heating Condition:  For single duct systems, the critical zones are generally perimeter zones with low airflow rates, such as north zones.  For VAV systems, look for exterior zones that have low minimum primary supply air rates.  
</t>
  </si>
  <si>
    <t xml:space="preserve">The fraction of secondary recirculated air supplied to the zone that is representative of average system return air rather than air directly recirculated from the zone. For systems that fully mix the return air before recirculating it, such as dual fan/dual duct systems, Er is 1.0.  For systems with local recirculation fans such as fan-powered boxes or local transfer fans, Er is typically between 0 and 1.0 but can theoretically exceed 1.0.  Take for example a fan-powered mixing box.  Er will be equal to 1.0 if the fan-powered box intake is located near the main air handler return air opening to the return air plenum, i.e. the return air to the fan-powered box is equal in quality to the return air that is going through the primary air handler.  Er would be equal to 0.0 if the fan-powered box inlet were ducted directly to the zone it served, i.e. the quality of the air to the fan-powered box is equal to that in the zone served.  In this case, the recirculated air provides no ventilation benefit.  Er can be greater than 1 if the recirculated air comes from nearby zones that are over-ventilated relative to the average return air in the system.  Most plenum mounted fan-powered box applications will be well between these extremes.  A default value of 0.5 is assumed in the spreadsheet, which is usually conservatively low.  See results of ASHRAE research project RP-1276 for more details.  </t>
  </si>
  <si>
    <t>The zone air distribution effectiveness.  See Table 6-2, values from which are available from a pull-down menu.  This value may vary depending in the condition being analyzed.  For instance, for an overhead supply and return system, it may be 0.8 when analyzing the heating condition and 1.0 when analyzing the cooling condition.</t>
  </si>
  <si>
    <t>Vpsd Ds</t>
  </si>
  <si>
    <t>Vdzd Ds</t>
  </si>
  <si>
    <t>Induction Terminal Unit</t>
  </si>
  <si>
    <t>Dual Fan Dual Duct</t>
  </si>
  <si>
    <t>Transfer Fan</t>
  </si>
  <si>
    <t>The percentage of the design airflow rate at the conditioned being analyzed.  For the system, Ds is multiplied by Vpsd to get the ventilation system airflow rate Vps.  The cell for the system defaults to the sum of the zone primary airflow rates (shown in the Check Figures columns to the right of the last zone), but since not all zones may be analyzed, this value may not match system Ds.  For each zone, Ds is multiplied by Vdzd to get the zone total supply air rate Vdz.  For constant volume systems, Ds is 1.0 at both the system and zones.  For VAV systems:
   * Cooling condition.  Ds is typically 1.0 for the system.  For series fan-powered mixing boxes, Ds is 1.0 for all zones.  For other systems in non-critical zones, Ds is either 1 or slightly less to reflect load diversity.  For the critical zone(s) Ds will typically be determined based on the zone minimum airflow rate setpoint, although it may be higher to reflect the lowest zone load that can be expected when the space is fully occupied.  
   * Heating condition.  Ds will be much lower than 1.0 reflecting the reduction in airflow rate at each zone.  If all zones have been entered into the spreadsheet, Ds can be determined explicitly as the sum of the zone primary airflow rates (Ep*Ds*Vddz).    If not all zones have been entered, Ds for the system must be estimated.   Ds for each zone is determined assuming the zone is in full heating mode.</t>
  </si>
  <si>
    <t>pomeroy elementary</t>
  </si>
  <si>
    <t>Scope</t>
  </si>
  <si>
    <t>Scope Index</t>
  </si>
  <si>
    <t>Calculation Type</t>
  </si>
  <si>
    <t>Air Handler Number</t>
  </si>
  <si>
    <t>Air Handler Name</t>
  </si>
  <si>
    <t>Room Number</t>
  </si>
  <si>
    <t>Room Name</t>
  </si>
  <si>
    <t>Zone Number</t>
  </si>
  <si>
    <t>Occurrences</t>
  </si>
  <si>
    <t>Peak Month</t>
  </si>
  <si>
    <t>Peak Hour</t>
  </si>
  <si>
    <t>Project Title</t>
  </si>
  <si>
    <t>Project Address</t>
  </si>
  <si>
    <t>Project City, State and ZIP</t>
  </si>
  <si>
    <t>Delivery Date of Units</t>
  </si>
  <si>
    <t>Designed By</t>
  </si>
  <si>
    <t>Client Name</t>
  </si>
  <si>
    <t>Company Name</t>
  </si>
  <si>
    <t>Building Opening Hour</t>
  </si>
  <si>
    <t>Building Closing Hour</t>
  </si>
  <si>
    <t>City</t>
  </si>
  <si>
    <t>Latitude</t>
  </si>
  <si>
    <t>Altitude</t>
  </si>
  <si>
    <t>Summer Design Outdoor Dry Bulb</t>
  </si>
  <si>
    <t>Summer Design Outdoor Wet Bulb</t>
  </si>
  <si>
    <t>Summer Actual Outdoor Dry Bulb</t>
  </si>
  <si>
    <t>Summer Actual Outdoor Wet Bulb</t>
  </si>
  <si>
    <t>Winter Outdoor Dry Bulb</t>
  </si>
  <si>
    <t>System Type</t>
  </si>
  <si>
    <t>System Type Index</t>
  </si>
  <si>
    <t>Summer Indoor Dry Bulb</t>
  </si>
  <si>
    <t>Summer Indoor Relative Humidity</t>
  </si>
  <si>
    <t>Summer Indoor Wet Bulb</t>
  </si>
  <si>
    <t>Winter Indoor Dry Bulb</t>
  </si>
  <si>
    <t>Area</t>
  </si>
  <si>
    <t>Volume</t>
  </si>
  <si>
    <t>Sensible Gain</t>
  </si>
  <si>
    <t>Latent Gain</t>
  </si>
  <si>
    <t>Net Gain</t>
  </si>
  <si>
    <t>Adjusted Gain</t>
  </si>
  <si>
    <t>Net Tons</t>
  </si>
  <si>
    <t>Adjusted Tons</t>
  </si>
  <si>
    <t>Sensible Loss</t>
  </si>
  <si>
    <t>Cooling Supply Airflow</t>
  </si>
  <si>
    <t>Heating Supply Airflow</t>
  </si>
  <si>
    <t>Duct Shape</t>
  </si>
  <si>
    <t>Duct Width</t>
  </si>
  <si>
    <t>Duct Height</t>
  </si>
  <si>
    <t>Duct Diameter</t>
  </si>
  <si>
    <t>Number of Diffusers</t>
  </si>
  <si>
    <t>Flow per Runout</t>
  </si>
  <si>
    <t>Duct Air Velocity</t>
  </si>
  <si>
    <t>Duct Pressure Drop</t>
  </si>
  <si>
    <t>Sensible Gain on Supply Side of Coil</t>
  </si>
  <si>
    <t>Sensible Gain on Return Side of Coil</t>
  </si>
  <si>
    <t>Roof Area</t>
  </si>
  <si>
    <t>Roof Sensible Gain</t>
  </si>
  <si>
    <t>Roof Sensible Loss</t>
  </si>
  <si>
    <t>Wall Area</t>
  </si>
  <si>
    <t>Wall Sensible Gain</t>
  </si>
  <si>
    <t>Wall Sensible Loss</t>
  </si>
  <si>
    <t>Window Area</t>
  </si>
  <si>
    <t>Window Sensible Gain</t>
  </si>
  <si>
    <t>Window Sensible Loss</t>
  </si>
  <si>
    <t>Skylight Area</t>
  </si>
  <si>
    <t>Skylight Sensible Gain</t>
  </si>
  <si>
    <t>Skylight Sensible Loss</t>
  </si>
  <si>
    <t>Floor Slab Perimeter</t>
  </si>
  <si>
    <t>Floor Sensible Loss</t>
  </si>
  <si>
    <t>Lighting Watts</t>
  </si>
  <si>
    <t>Lighting Sensible Gain</t>
  </si>
  <si>
    <t>Equipment Sensible Watts</t>
  </si>
  <si>
    <t>Equipment Sensible Gain</t>
  </si>
  <si>
    <t>Equipment Latent Gain</t>
  </si>
  <si>
    <t>Pool Latent Gain</t>
  </si>
  <si>
    <t>People Number</t>
  </si>
  <si>
    <t>People Sensible Gain</t>
  </si>
  <si>
    <t>People Latent Gain</t>
  </si>
  <si>
    <t>Total Internal Sensible Gain</t>
  </si>
  <si>
    <t>Total Internal Latent Gain</t>
  </si>
  <si>
    <t>Partition Area</t>
  </si>
  <si>
    <t>Partition Sensible Gain</t>
  </si>
  <si>
    <t>Partition Sensible Loss</t>
  </si>
  <si>
    <t>Cooling Pretreated Air Flow</t>
  </si>
  <si>
    <t>Heating Pretreated Air Flow</t>
  </si>
  <si>
    <t>Cooling Pretreated Air Sensible Gain</t>
  </si>
  <si>
    <t>Cooling Pretreated Air Latent Gain</t>
  </si>
  <si>
    <t>Heating Pretreated Air Sensible Loss</t>
  </si>
  <si>
    <t>Cooling Ventilation Method</t>
  </si>
  <si>
    <t>Cooling Ventilation Flow Requested</t>
  </si>
  <si>
    <t>Cooling Ventilation Flow Actual</t>
  </si>
  <si>
    <t>Cooling Ventilation Sensible Gain</t>
  </si>
  <si>
    <t>Cooling Ventilation Latent Gain</t>
  </si>
  <si>
    <t>Heating Ventilation Method</t>
  </si>
  <si>
    <t>Heating Ventilation Flow Requested</t>
  </si>
  <si>
    <t>Heating Ventilation Flow Actual</t>
  </si>
  <si>
    <t>Heating Ventilation Sensible Loss</t>
  </si>
  <si>
    <t>Cooling Exhaust Flow</t>
  </si>
  <si>
    <t>Heating Exhaust Flow</t>
  </si>
  <si>
    <t>Cooling Infiltration Method</t>
  </si>
  <si>
    <t>Cooling Infiltration Flow</t>
  </si>
  <si>
    <t>Cooling Infiltration Sensible Gain</t>
  </si>
  <si>
    <t>Cooling Infiltration Latent Gain</t>
  </si>
  <si>
    <t>Heating Infiltration Method</t>
  </si>
  <si>
    <t>Heating Infiltration Flow</t>
  </si>
  <si>
    <t>Heating Infiltration Sensible Loss</t>
  </si>
  <si>
    <t>Draw-Through Fan Sensible Gain</t>
  </si>
  <si>
    <t>Blow-Through Fan Sensible Gain</t>
  </si>
  <si>
    <t>Cooling Reserve Capacity</t>
  </si>
  <si>
    <t>Cooling Reheat Capacity</t>
  </si>
  <si>
    <t>Supply Duct Sensible Gain</t>
  </si>
  <si>
    <t>Supply Duct Sensible Loss</t>
  </si>
  <si>
    <t>Return Duct Sensible Gain</t>
  </si>
  <si>
    <t>Return Duct Sensible Loss</t>
  </si>
  <si>
    <t>Miscellaneous Supply Sensible Gain</t>
  </si>
  <si>
    <t>Miscellaneous Return Sensible Gain</t>
  </si>
  <si>
    <t>Room Plenum Sensible Gain</t>
  </si>
  <si>
    <t>Room Plenum Sensible Loss</t>
  </si>
  <si>
    <t>Plenum Credit Cooling</t>
  </si>
  <si>
    <t>Plenum Credit Heating</t>
  </si>
  <si>
    <t>Plenum Sensible Gain Adjustment</t>
  </si>
  <si>
    <t>Plenum Sensible Loss Adjustment</t>
  </si>
  <si>
    <t>Leaving Cooling Coil Dry Bulb</t>
  </si>
  <si>
    <t>Leaving Cooling Coil Wet Bulb</t>
  </si>
  <si>
    <t>Leaving Cooling Coil Relative Humidity</t>
  </si>
  <si>
    <t>Leaving Cooling Coil Enthalpy</t>
  </si>
  <si>
    <t>Entering Cooling Coil Dry Bulb</t>
  </si>
  <si>
    <t>Entering Cooling Coil Wet Bulb</t>
  </si>
  <si>
    <t>Entering Cooling Coil Relative Humidity</t>
  </si>
  <si>
    <t>Entering Cooling Coil Enthalpy</t>
  </si>
  <si>
    <t>Leaving Heating Coil Dry Bulb</t>
  </si>
  <si>
    <t>Entering Heating Coil Dry Bulb</t>
  </si>
  <si>
    <t>Heating Model Type</t>
  </si>
  <si>
    <t>8.02.28</t>
  </si>
  <si>
    <t>Building</t>
  </si>
  <si>
    <t>R</t>
  </si>
  <si>
    <t>Z</t>
  </si>
  <si>
    <t>Room</t>
  </si>
  <si>
    <t>Ahu-1</t>
  </si>
  <si>
    <t>Round</t>
  </si>
  <si>
    <t>None</t>
  </si>
  <si>
    <t>August</t>
  </si>
  <si>
    <t>5pm</t>
  </si>
  <si>
    <t>Room Peak Totals</t>
  </si>
  <si>
    <t>Ahu-2</t>
  </si>
  <si>
    <t>4pm</t>
  </si>
  <si>
    <t>Zone</t>
  </si>
  <si>
    <t>Zone 0</t>
  </si>
  <si>
    <t>Zone Peak Totals</t>
  </si>
  <si>
    <t>change log</t>
  </si>
  <si>
    <t>v0.0</t>
  </si>
  <si>
    <t>release</t>
  </si>
  <si>
    <t>v0.1</t>
  </si>
  <si>
    <t>fixed a bug where the last room is not copied to the calculation sheet</t>
  </si>
  <si>
    <t>updated documentation</t>
  </si>
  <si>
    <t>Program Version</t>
  </si>
  <si>
    <t>Constant Volume - Sum of Peaks</t>
  </si>
  <si>
    <t>Default entry has been overridden.</t>
  </si>
  <si>
    <t>Potentially Critical Zones</t>
  </si>
  <si>
    <t>201a</t>
  </si>
  <si>
    <t>Totals/averages</t>
  </si>
  <si>
    <t>201b</t>
  </si>
  <si>
    <t>College Station ISD Elementary #10</t>
  </si>
  <si>
    <t>COLLEGE STATION/BRYAN, TEXAS, USA</t>
  </si>
  <si>
    <t>A101-classroom</t>
  </si>
  <si>
    <t>A102-corridor</t>
  </si>
  <si>
    <t>A103-classroom</t>
  </si>
  <si>
    <t>A104-classroom</t>
  </si>
  <si>
    <t>A105-activity Area</t>
  </si>
  <si>
    <t>A106-classroom</t>
  </si>
  <si>
    <t>A107-classroom</t>
  </si>
  <si>
    <t>A108-corridor2</t>
  </si>
  <si>
    <t>A109-classroom</t>
  </si>
  <si>
    <t>A110-dyslexia</t>
  </si>
  <si>
    <t>A112-speech</t>
  </si>
  <si>
    <t>A113-toilet</t>
  </si>
  <si>
    <t>A114-teamstorage</t>
  </si>
  <si>
    <t>A115-washarea</t>
  </si>
  <si>
    <t>A116-girls</t>
  </si>
  <si>
    <t>A117-boys</t>
  </si>
  <si>
    <t>A118-electrical</t>
  </si>
  <si>
    <t>A119-specialist</t>
  </si>
  <si>
    <t>Axx-alternate</t>
  </si>
  <si>
    <t>A120-corridor</t>
  </si>
  <si>
    <t>A121a-corridor</t>
  </si>
  <si>
    <t>2pm</t>
  </si>
  <si>
    <t>A121b-corridor</t>
  </si>
  <si>
    <t>A122-specialist</t>
  </si>
  <si>
    <t>3pm</t>
  </si>
  <si>
    <t>A123-classroom</t>
  </si>
  <si>
    <t>A124-toilet</t>
  </si>
  <si>
    <t>A125-teamstorage</t>
  </si>
  <si>
    <t>A126-corridor</t>
  </si>
  <si>
    <t>A127-washarea</t>
  </si>
  <si>
    <t>A128-girls</t>
  </si>
  <si>
    <t>A129-boys</t>
  </si>
  <si>
    <t>A130-storage</t>
  </si>
  <si>
    <t>A131-classroom</t>
  </si>
  <si>
    <t>A132-classroom</t>
  </si>
  <si>
    <t>A133-classroom</t>
  </si>
  <si>
    <t>A134-activityarea</t>
  </si>
  <si>
    <t>A134b-corridor</t>
  </si>
  <si>
    <t>A135-classroom</t>
  </si>
  <si>
    <t>A136-classroom</t>
  </si>
  <si>
    <t>A137-corridor</t>
  </si>
  <si>
    <t>10am</t>
  </si>
  <si>
    <t>A138-classroom</t>
  </si>
  <si>
    <t>Ax136-classroom</t>
  </si>
  <si>
    <t>Ax138-classroom</t>
  </si>
  <si>
    <t>Ax137-corridor</t>
  </si>
  <si>
    <t>C116-toilet</t>
  </si>
  <si>
    <t>C117-teamstorage</t>
  </si>
  <si>
    <t>C108-corridor</t>
  </si>
  <si>
    <t>C114-washarea</t>
  </si>
  <si>
    <t>C113-girls</t>
  </si>
  <si>
    <t>C112-boys</t>
  </si>
  <si>
    <t>C110-electrical</t>
  </si>
  <si>
    <t>C111-custoidan</t>
  </si>
  <si>
    <t>C109-classroom</t>
  </si>
  <si>
    <t>C107-classroom</t>
  </si>
  <si>
    <t>C106-classroom</t>
  </si>
  <si>
    <t>C105-activityarea</t>
  </si>
  <si>
    <t>C108b-corridor</t>
  </si>
  <si>
    <t>C104-classroom</t>
  </si>
  <si>
    <t>C103-classroom</t>
  </si>
  <si>
    <t>C102-corridor</t>
  </si>
  <si>
    <t>C101-classroom</t>
  </si>
  <si>
    <t>1am</t>
  </si>
  <si>
    <t>C119-toilet</t>
  </si>
  <si>
    <t>C118-specialEducation</t>
  </si>
  <si>
    <t>C115b-corridor</t>
  </si>
  <si>
    <t>C120-specialist</t>
  </si>
  <si>
    <t>C121-classroom</t>
  </si>
  <si>
    <t>C115A-corridor</t>
  </si>
  <si>
    <t>C122-toilet</t>
  </si>
  <si>
    <t>C123-teamstorage</t>
  </si>
  <si>
    <t>C124-corridor</t>
  </si>
  <si>
    <t>C126-washarea</t>
  </si>
  <si>
    <t>C126-girls</t>
  </si>
  <si>
    <t>C127-boys</t>
  </si>
  <si>
    <t>C130-storage</t>
  </si>
  <si>
    <t>C129-custodian</t>
  </si>
  <si>
    <t>D160-computer Lab</t>
  </si>
  <si>
    <t>C131-classroom</t>
  </si>
  <si>
    <t>C132-classroom</t>
  </si>
  <si>
    <t>C133-classroom</t>
  </si>
  <si>
    <t>C134-activityarea</t>
  </si>
  <si>
    <t>C134b-corridor</t>
  </si>
  <si>
    <t>C135-classroom</t>
  </si>
  <si>
    <t>C136-classroom</t>
  </si>
  <si>
    <t>C137-corridor</t>
  </si>
  <si>
    <t>C138-classroom</t>
  </si>
  <si>
    <t>B119-toilet</t>
  </si>
  <si>
    <t>B118-teamstorage</t>
  </si>
  <si>
    <t>B111-corridor</t>
  </si>
  <si>
    <t>B111a-washarea</t>
  </si>
  <si>
    <t>B111b-girls</t>
  </si>
  <si>
    <t>B111c-boys</t>
  </si>
  <si>
    <t>B112-kindergarten</t>
  </si>
  <si>
    <t>B113-toilet</t>
  </si>
  <si>
    <t>B109-kindergarten</t>
  </si>
  <si>
    <t>B110-toilet</t>
  </si>
  <si>
    <t>B106-kindergarten</t>
  </si>
  <si>
    <t>B105-toilet</t>
  </si>
  <si>
    <t>B107-activityarea</t>
  </si>
  <si>
    <t>B108-kindergarten</t>
  </si>
  <si>
    <t>B101-kindergarten</t>
  </si>
  <si>
    <t>B101x-kindergarten</t>
  </si>
  <si>
    <t>B102-toilet</t>
  </si>
  <si>
    <t>B103-corridor</t>
  </si>
  <si>
    <t>B104-kindergarten</t>
  </si>
  <si>
    <t>B104x-kindergarten</t>
  </si>
  <si>
    <t>B103x-corridor</t>
  </si>
  <si>
    <t>B122-classroom</t>
  </si>
  <si>
    <t>B123-toilet</t>
  </si>
  <si>
    <t>B124-corridor</t>
  </si>
  <si>
    <t>B117-lit Library</t>
  </si>
  <si>
    <t>B116-prep Room</t>
  </si>
  <si>
    <t>B115-klin</t>
  </si>
  <si>
    <t>B114-art</t>
  </si>
  <si>
    <t>B141-corridor</t>
  </si>
  <si>
    <t>B126-workroom</t>
  </si>
  <si>
    <t>B125-lounge</t>
  </si>
  <si>
    <t>B131-enrichment</t>
  </si>
  <si>
    <t>B132-toilet</t>
  </si>
  <si>
    <t>B129-science</t>
  </si>
  <si>
    <t>A120a-break-out</t>
  </si>
  <si>
    <t>B121b-bookroom</t>
  </si>
  <si>
    <t>C125-corridor</t>
  </si>
  <si>
    <t>A120d-break-out</t>
  </si>
  <si>
    <t>A120c-break-out</t>
  </si>
  <si>
    <t>B136-head Start</t>
  </si>
  <si>
    <t>B139-facilitator</t>
  </si>
  <si>
    <t>B138-storage</t>
  </si>
  <si>
    <t>B137-toilet</t>
  </si>
  <si>
    <t>B140-pre-k</t>
  </si>
  <si>
    <t>B134-library</t>
  </si>
  <si>
    <t>B133-av Storage</t>
  </si>
  <si>
    <t>B130-workroom</t>
  </si>
  <si>
    <t>B128-library Storage</t>
  </si>
  <si>
    <t>Variable Air Volume</t>
  </si>
  <si>
    <t>Ahu-3</t>
  </si>
  <si>
    <t>Ahu-4</t>
  </si>
  <si>
    <t>Ahu-5</t>
  </si>
  <si>
    <t>Ahu-6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</si>
</sst>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0.0"/>
    <numFmt numFmtId="165" formatCode="0.00_);\(0.00\)"/>
    <numFmt numFmtId="166" formatCode="0.0_);\(0.0\)"/>
    <numFmt numFmtId="167" formatCode="0_);\(0\)"/>
  </numFmts>
  <fonts count="32">
    <font>
      <sz val="10"/>
      <name val="Arial"/>
      <family val="2"/>
    </font>
    <font>
      <sz val="9"/>
      <name val="Geneva"/>
    </font>
    <font>
      <u/>
      <sz val="9"/>
      <color indexed="12"/>
      <name val="Geneva"/>
    </font>
    <font>
      <sz val="8"/>
      <name val="Geneva"/>
    </font>
    <font>
      <sz val="10"/>
      <color indexed="12"/>
      <name val="Arial"/>
      <family val="2"/>
    </font>
    <font>
      <b/>
      <sz val="10"/>
      <name val="Arial"/>
      <family val="2"/>
    </font>
    <font>
      <sz val="10"/>
      <name val="Arial"/>
      <family val="2"/>
    </font>
    <font>
      <b/>
      <u/>
      <sz val="10"/>
      <name val="Arial"/>
      <family val="2"/>
    </font>
    <font>
      <u/>
      <sz val="10"/>
      <color indexed="12"/>
      <name val="Arial"/>
      <family val="2"/>
    </font>
    <font>
      <b/>
      <sz val="10"/>
      <color indexed="10"/>
      <name val="Arial"/>
      <family val="2"/>
    </font>
    <font>
      <i/>
      <sz val="10"/>
      <color indexed="14"/>
      <name val="Arial"/>
      <family val="2"/>
    </font>
    <font>
      <sz val="9"/>
      <name val="Arial"/>
      <family val="2"/>
    </font>
    <font>
      <sz val="10"/>
      <color indexed="23"/>
      <name val="Arial"/>
      <family val="2"/>
    </font>
    <font>
      <sz val="10"/>
      <color indexed="17"/>
      <name val="Arial"/>
      <family val="2"/>
    </font>
    <font>
      <sz val="10"/>
      <color indexed="14"/>
      <name val="Arial"/>
      <family val="2"/>
    </font>
    <font>
      <sz val="10"/>
      <color indexed="10"/>
      <name val="Arial"/>
      <family val="2"/>
    </font>
    <font>
      <u/>
      <sz val="10"/>
      <name val="Arial"/>
      <family val="2"/>
    </font>
    <font>
      <b/>
      <u/>
      <sz val="10"/>
      <color indexed="12"/>
      <name val="Arial"/>
      <family val="2"/>
    </font>
    <font>
      <b/>
      <u/>
      <sz val="10"/>
      <color indexed="17"/>
      <name val="Arial"/>
      <family val="2"/>
    </font>
    <font>
      <sz val="9"/>
      <color indexed="8"/>
      <name val="Arial"/>
      <family val="2"/>
    </font>
    <font>
      <b/>
      <sz val="9"/>
      <name val="Arial"/>
      <family val="2"/>
    </font>
    <font>
      <b/>
      <sz val="10"/>
      <color indexed="56"/>
      <name val="Arial"/>
      <family val="2"/>
    </font>
    <font>
      <sz val="10"/>
      <name val="Geneva"/>
    </font>
    <font>
      <sz val="8"/>
      <name val="Arial"/>
      <family val="2"/>
    </font>
    <font>
      <i/>
      <sz val="10"/>
      <name val="Arial"/>
      <family val="2"/>
    </font>
    <font>
      <i/>
      <sz val="10"/>
      <color indexed="23"/>
      <name val="Arial"/>
      <family val="2"/>
    </font>
    <font>
      <i/>
      <sz val="10"/>
      <color indexed="12"/>
      <name val="Arial"/>
      <family val="2"/>
    </font>
    <font>
      <sz val="10"/>
      <color indexed="9"/>
      <name val="Arial"/>
      <family val="2"/>
    </font>
    <font>
      <b/>
      <i/>
      <sz val="9"/>
      <name val="Arial"/>
      <family val="2"/>
    </font>
    <font>
      <b/>
      <vertAlign val="superscript"/>
      <sz val="9"/>
      <name val="Arial"/>
      <family val="2"/>
    </font>
    <font>
      <sz val="10"/>
      <color rgb="FF000000"/>
      <name val="Arial"/>
      <family val="2"/>
    </font>
    <font>
      <b/>
      <sz val="10"/>
      <color indexed="12"/>
      <name val="Arial"/>
      <family val="2"/>
    </font>
  </fonts>
  <fills count="6">
    <fill>
      <patternFill patternType="none"/>
    </fill>
    <fill>
      <patternFill patternType="gray125"/>
    </fill>
    <fill>
      <patternFill patternType="solid">
        <fgColor indexed="26"/>
        <bgColor indexed="64"/>
      </patternFill>
    </fill>
    <fill>
      <patternFill patternType="solid">
        <fgColor indexed="22"/>
        <bgColor indexed="64"/>
      </patternFill>
    </fill>
    <fill>
      <patternFill patternType="solid">
        <fgColor indexed="13"/>
        <bgColor indexed="64"/>
      </patternFill>
    </fill>
    <fill>
      <patternFill patternType="solid">
        <fgColor indexed="43"/>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s>
  <cellStyleXfs count="4">
    <xf numFmtId="0" fontId="0" fillId="0" borderId="0"/>
    <xf numFmtId="43" fontId="1" fillId="0" borderId="0" applyFont="0" applyFill="0" applyBorder="0" applyAlignment="0" applyProtection="0"/>
    <xf numFmtId="0" fontId="2" fillId="0" borderId="0" applyNumberFormat="0" applyFill="0" applyBorder="0" applyAlignment="0" applyProtection="0">
      <alignment vertical="top"/>
      <protection locked="0"/>
    </xf>
    <xf numFmtId="9" fontId="1" fillId="0" borderId="0" applyFont="0" applyFill="0" applyBorder="0" applyAlignment="0" applyProtection="0"/>
  </cellStyleXfs>
  <cellXfs count="346">
    <xf numFmtId="0" fontId="0" fillId="0" borderId="0" xfId="0"/>
    <xf numFmtId="0" fontId="4" fillId="2" borderId="1" xfId="0" applyFont="1" applyFill="1" applyBorder="1" applyAlignment="1" applyProtection="1">
      <alignment horizontal="right" vertical="top" wrapText="1"/>
      <protection locked="0"/>
    </xf>
    <xf numFmtId="0" fontId="6" fillId="0" borderId="0" xfId="0" applyFont="1" applyBorder="1"/>
    <xf numFmtId="0" fontId="4" fillId="2" borderId="1" xfId="0" applyFont="1" applyFill="1" applyBorder="1" applyAlignment="1" applyProtection="1">
      <alignment horizontal="right"/>
      <protection locked="0"/>
    </xf>
    <xf numFmtId="0" fontId="6" fillId="0" borderId="0" xfId="0" applyFont="1" applyBorder="1" applyAlignment="1"/>
    <xf numFmtId="9" fontId="4" fillId="2" borderId="1" xfId="0" applyNumberFormat="1" applyFont="1" applyFill="1" applyBorder="1" applyAlignment="1" applyProtection="1">
      <alignment horizontal="right"/>
      <protection locked="0"/>
    </xf>
    <xf numFmtId="0" fontId="8" fillId="0" borderId="0" xfId="2" applyFont="1" applyBorder="1" applyAlignment="1" applyProtection="1">
      <alignment horizontal="center"/>
    </xf>
    <xf numFmtId="2" fontId="4" fillId="2" borderId="1" xfId="0" applyNumberFormat="1" applyFont="1" applyFill="1" applyBorder="1" applyProtection="1">
      <protection locked="0"/>
    </xf>
    <xf numFmtId="0" fontId="5" fillId="2" borderId="1" xfId="0" applyFont="1" applyFill="1" applyBorder="1" applyAlignment="1" applyProtection="1">
      <alignment horizontal="center" vertical="top" wrapText="1"/>
      <protection locked="0"/>
    </xf>
    <xf numFmtId="2" fontId="4" fillId="0" borderId="0" xfId="3" applyNumberFormat="1" applyFont="1" applyFill="1" applyBorder="1" applyProtection="1">
      <protection locked="0"/>
    </xf>
    <xf numFmtId="0" fontId="6" fillId="0" borderId="0" xfId="0" applyFont="1" applyBorder="1" applyAlignment="1">
      <alignment vertical="center"/>
    </xf>
    <xf numFmtId="164" fontId="4" fillId="2" borderId="1" xfId="0" applyNumberFormat="1" applyFont="1" applyFill="1" applyBorder="1" applyProtection="1">
      <protection locked="0"/>
    </xf>
    <xf numFmtId="0" fontId="7" fillId="0" borderId="2" xfId="0" applyFont="1" applyBorder="1"/>
    <xf numFmtId="0" fontId="18" fillId="0" borderId="2" xfId="0" applyFont="1" applyBorder="1"/>
    <xf numFmtId="0" fontId="7" fillId="0" borderId="3" xfId="0" applyFont="1" applyBorder="1"/>
    <xf numFmtId="0" fontId="11" fillId="0" borderId="0" xfId="0" applyFont="1"/>
    <xf numFmtId="0" fontId="6" fillId="0" borderId="0" xfId="0" applyFont="1"/>
    <xf numFmtId="0" fontId="6" fillId="0" borderId="4" xfId="0" applyFont="1" applyBorder="1"/>
    <xf numFmtId="0" fontId="18" fillId="0" borderId="3" xfId="0" applyFont="1" applyBorder="1"/>
    <xf numFmtId="0" fontId="5" fillId="2" borderId="5" xfId="0" applyFont="1" applyFill="1" applyBorder="1" applyAlignment="1" applyProtection="1">
      <alignment horizontal="center" vertical="top" wrapText="1"/>
      <protection locked="0"/>
    </xf>
    <xf numFmtId="0" fontId="5" fillId="0" borderId="6" xfId="0" applyFont="1" applyBorder="1" applyAlignment="1" applyProtection="1">
      <alignment horizontal="left"/>
    </xf>
    <xf numFmtId="0" fontId="6" fillId="0" borderId="7" xfId="0" applyFont="1" applyBorder="1" applyAlignment="1" applyProtection="1">
      <alignment vertical="center"/>
    </xf>
    <xf numFmtId="0" fontId="6" fillId="0" borderId="6" xfId="0" applyFont="1" applyBorder="1" applyProtection="1"/>
    <xf numFmtId="0" fontId="6" fillId="0" borderId="8" xfId="0" applyFont="1" applyBorder="1" applyProtection="1"/>
    <xf numFmtId="0" fontId="6" fillId="0" borderId="0" xfId="0" applyFont="1" applyProtection="1"/>
    <xf numFmtId="0" fontId="5" fillId="0" borderId="9" xfId="0" applyFont="1" applyBorder="1" applyAlignment="1" applyProtection="1">
      <alignment horizontal="left"/>
    </xf>
    <xf numFmtId="0" fontId="6" fillId="0" borderId="0" xfId="0" applyFont="1" applyBorder="1" applyAlignment="1" applyProtection="1">
      <alignment vertical="center"/>
    </xf>
    <xf numFmtId="0" fontId="5" fillId="0" borderId="11" xfId="0" applyFont="1" applyBorder="1" applyAlignment="1" applyProtection="1">
      <alignment horizontal="left"/>
    </xf>
    <xf numFmtId="0" fontId="5" fillId="0" borderId="12" xfId="0" applyFont="1" applyBorder="1" applyAlignment="1" applyProtection="1">
      <alignment vertical="center"/>
    </xf>
    <xf numFmtId="0" fontId="7" fillId="0" borderId="9" xfId="0" applyFont="1" applyBorder="1" applyAlignment="1" applyProtection="1">
      <alignment horizontal="left"/>
    </xf>
    <xf numFmtId="0" fontId="5" fillId="0" borderId="0" xfId="0" applyFont="1" applyBorder="1" applyAlignment="1" applyProtection="1">
      <alignment horizontal="left" vertical="center"/>
    </xf>
    <xf numFmtId="0" fontId="5" fillId="0" borderId="0" xfId="0" applyFont="1" applyBorder="1" applyAlignment="1" applyProtection="1"/>
    <xf numFmtId="0" fontId="6" fillId="0" borderId="0" xfId="0" applyFont="1" applyBorder="1" applyAlignment="1" applyProtection="1"/>
    <xf numFmtId="0" fontId="6" fillId="0" borderId="0" xfId="0" applyFont="1" applyBorder="1" applyProtection="1"/>
    <xf numFmtId="0" fontId="6" fillId="0" borderId="0" xfId="0" applyFont="1" applyBorder="1" applyAlignment="1" applyProtection="1">
      <alignment horizontal="center"/>
    </xf>
    <xf numFmtId="0" fontId="6" fillId="0" borderId="0" xfId="0" applyFont="1" applyBorder="1" applyAlignment="1" applyProtection="1">
      <alignment horizontal="right"/>
    </xf>
    <xf numFmtId="0" fontId="6" fillId="0" borderId="10" xfId="0" applyFont="1" applyBorder="1" applyProtection="1"/>
    <xf numFmtId="0" fontId="6" fillId="0" borderId="9" xfId="0" applyFont="1" applyBorder="1" applyProtection="1"/>
    <xf numFmtId="0" fontId="7" fillId="0" borderId="0" xfId="0" applyFont="1" applyBorder="1" applyAlignment="1" applyProtection="1">
      <alignment horizontal="left" vertical="center"/>
    </xf>
    <xf numFmtId="0" fontId="5" fillId="0" borderId="1" xfId="0" applyFont="1" applyBorder="1" applyAlignment="1" applyProtection="1">
      <alignment horizontal="center" wrapText="1"/>
    </xf>
    <xf numFmtId="0" fontId="5" fillId="0" borderId="9" xfId="0" applyFont="1" applyBorder="1" applyProtection="1"/>
    <xf numFmtId="0" fontId="7" fillId="0" borderId="9" xfId="0" applyFont="1" applyBorder="1" applyProtection="1"/>
    <xf numFmtId="164" fontId="6" fillId="0" borderId="9" xfId="0" applyNumberFormat="1" applyFont="1" applyBorder="1" applyProtection="1"/>
    <xf numFmtId="2" fontId="6" fillId="0" borderId="9" xfId="0" applyNumberFormat="1" applyFont="1" applyBorder="1" applyProtection="1"/>
    <xf numFmtId="0" fontId="7" fillId="0" borderId="14" xfId="0" applyFont="1" applyBorder="1" applyProtection="1"/>
    <xf numFmtId="0" fontId="9" fillId="0" borderId="14" xfId="0" applyFont="1" applyBorder="1" applyAlignment="1" applyProtection="1">
      <alignment horizontal="center"/>
    </xf>
    <xf numFmtId="0" fontId="5" fillId="0" borderId="0" xfId="0" applyFont="1" applyBorder="1" applyAlignment="1" applyProtection="1">
      <alignment horizontal="right" vertical="top" wrapText="1"/>
    </xf>
    <xf numFmtId="0" fontId="6" fillId="0" borderId="0" xfId="0" applyFont="1" applyBorder="1" applyAlignment="1" applyProtection="1">
      <alignment vertical="center" wrapText="1"/>
    </xf>
    <xf numFmtId="0" fontId="10" fillId="0" borderId="0" xfId="0" applyFont="1" applyBorder="1" applyAlignment="1" applyProtection="1"/>
    <xf numFmtId="0" fontId="12" fillId="0" borderId="0" xfId="0" applyFont="1" applyBorder="1" applyAlignment="1" applyProtection="1"/>
    <xf numFmtId="0" fontId="7" fillId="0" borderId="14" xfId="0" applyFont="1" applyBorder="1" applyAlignment="1" applyProtection="1">
      <alignment horizontal="left"/>
    </xf>
    <xf numFmtId="0" fontId="12" fillId="0" borderId="15" xfId="0" applyFont="1" applyBorder="1" applyAlignment="1" applyProtection="1">
      <alignment vertical="center"/>
    </xf>
    <xf numFmtId="0" fontId="9" fillId="0" borderId="15" xfId="0" applyFont="1" applyBorder="1" applyProtection="1"/>
    <xf numFmtId="2" fontId="6" fillId="0" borderId="14" xfId="0" applyNumberFormat="1" applyFont="1" applyBorder="1" applyProtection="1"/>
    <xf numFmtId="0" fontId="6" fillId="0" borderId="16" xfId="0" applyFont="1" applyBorder="1" applyProtection="1"/>
    <xf numFmtId="0" fontId="12" fillId="0" borderId="0" xfId="0" applyFont="1" applyBorder="1" applyAlignment="1" applyProtection="1">
      <alignment vertical="center"/>
    </xf>
    <xf numFmtId="0" fontId="12" fillId="0" borderId="0" xfId="0" applyFont="1" applyBorder="1" applyProtection="1"/>
    <xf numFmtId="0" fontId="9" fillId="0" borderId="0" xfId="0" applyFont="1" applyBorder="1" applyProtection="1"/>
    <xf numFmtId="2" fontId="4" fillId="0" borderId="0" xfId="3" applyNumberFormat="1" applyFont="1" applyFill="1" applyBorder="1" applyProtection="1"/>
    <xf numFmtId="9" fontId="6" fillId="0" borderId="9" xfId="0" applyNumberFormat="1" applyFont="1" applyBorder="1" applyProtection="1"/>
    <xf numFmtId="1" fontId="6" fillId="0" borderId="0" xfId="0" applyNumberFormat="1" applyFont="1" applyProtection="1"/>
    <xf numFmtId="0" fontId="15" fillId="0" borderId="0" xfId="0" applyFont="1" applyBorder="1" applyProtection="1"/>
    <xf numFmtId="1" fontId="13" fillId="0" borderId="0" xfId="0" applyNumberFormat="1" applyFont="1" applyBorder="1" applyProtection="1"/>
    <xf numFmtId="1" fontId="13" fillId="0" borderId="9" xfId="0" applyNumberFormat="1" applyFont="1" applyBorder="1" applyProtection="1"/>
    <xf numFmtId="0" fontId="18" fillId="0" borderId="9" xfId="0" applyFont="1" applyBorder="1" applyProtection="1"/>
    <xf numFmtId="0" fontId="13" fillId="0" borderId="0" xfId="0" applyFont="1" applyBorder="1" applyAlignment="1" applyProtection="1">
      <alignment horizontal="left"/>
    </xf>
    <xf numFmtId="0" fontId="13" fillId="0" borderId="0" xfId="0" applyFont="1" applyBorder="1" applyProtection="1"/>
    <xf numFmtId="0" fontId="13" fillId="0" borderId="0" xfId="0" applyFont="1" applyBorder="1" applyAlignment="1" applyProtection="1">
      <alignment horizontal="right"/>
    </xf>
    <xf numFmtId="0" fontId="18" fillId="0" borderId="14" xfId="0" applyFont="1" applyBorder="1" applyProtection="1"/>
    <xf numFmtId="0" fontId="15" fillId="0" borderId="15" xfId="0" applyFont="1" applyBorder="1" applyProtection="1"/>
    <xf numFmtId="0" fontId="13" fillId="0" borderId="15" xfId="0" applyFont="1" applyBorder="1" applyAlignment="1" applyProtection="1">
      <alignment horizontal="left"/>
    </xf>
    <xf numFmtId="0" fontId="13" fillId="0" borderId="15" xfId="0" applyFont="1" applyBorder="1" applyProtection="1"/>
    <xf numFmtId="0" fontId="13" fillId="0" borderId="15" xfId="0" applyFont="1" applyBorder="1" applyAlignment="1" applyProtection="1">
      <alignment horizontal="right"/>
    </xf>
    <xf numFmtId="1" fontId="13" fillId="0" borderId="15" xfId="0" applyNumberFormat="1" applyFont="1" applyBorder="1" applyProtection="1"/>
    <xf numFmtId="165" fontId="5" fillId="0" borderId="0" xfId="0" applyNumberFormat="1" applyFont="1" applyBorder="1" applyProtection="1"/>
    <xf numFmtId="2" fontId="15" fillId="0" borderId="0" xfId="3" applyNumberFormat="1" applyFont="1" applyFill="1" applyBorder="1" applyProtection="1"/>
    <xf numFmtId="0" fontId="6" fillId="0" borderId="9" xfId="0" applyFont="1" applyBorder="1" applyAlignment="1" applyProtection="1">
      <alignment vertical="center"/>
    </xf>
    <xf numFmtId="0" fontId="6" fillId="0" borderId="0" xfId="0" applyFont="1" applyBorder="1" applyAlignment="1" applyProtection="1">
      <alignment horizontal="left"/>
    </xf>
    <xf numFmtId="167" fontId="5" fillId="0" borderId="0" xfId="0" applyNumberFormat="1" applyFont="1" applyBorder="1" applyProtection="1"/>
    <xf numFmtId="166" fontId="5" fillId="0" borderId="0" xfId="0" applyNumberFormat="1" applyFont="1" applyBorder="1" applyProtection="1"/>
    <xf numFmtId="9" fontId="5" fillId="0" borderId="0" xfId="3" applyFont="1" applyBorder="1" applyProtection="1"/>
    <xf numFmtId="0" fontId="7" fillId="0" borderId="11" xfId="0" applyFont="1" applyBorder="1" applyProtection="1"/>
    <xf numFmtId="0" fontId="13" fillId="0" borderId="12" xfId="0" applyFont="1" applyBorder="1" applyProtection="1"/>
    <xf numFmtId="0" fontId="13" fillId="0" borderId="12" xfId="0" applyFont="1" applyBorder="1" applyAlignment="1" applyProtection="1">
      <alignment horizontal="center"/>
    </xf>
    <xf numFmtId="0" fontId="14" fillId="0" borderId="12" xfId="0" applyFont="1" applyBorder="1" applyProtection="1"/>
    <xf numFmtId="0" fontId="15" fillId="0" borderId="12" xfId="0" applyFont="1" applyBorder="1" applyAlignment="1" applyProtection="1">
      <alignment horizontal="right"/>
    </xf>
    <xf numFmtId="0" fontId="7" fillId="3" borderId="2" xfId="0" applyFont="1" applyFill="1" applyBorder="1" applyProtection="1"/>
    <xf numFmtId="0" fontId="13" fillId="3" borderId="0" xfId="0" applyFont="1" applyFill="1" applyBorder="1" applyProtection="1"/>
    <xf numFmtId="0" fontId="13" fillId="3" borderId="0" xfId="0" applyFont="1" applyFill="1" applyBorder="1" applyAlignment="1" applyProtection="1">
      <alignment horizontal="center"/>
    </xf>
    <xf numFmtId="0" fontId="14" fillId="3" borderId="0" xfId="0" applyFont="1" applyFill="1" applyBorder="1" applyProtection="1"/>
    <xf numFmtId="0" fontId="15" fillId="3" borderId="0" xfId="0" applyFont="1" applyFill="1" applyBorder="1" applyAlignment="1" applyProtection="1">
      <alignment horizontal="right"/>
    </xf>
    <xf numFmtId="0" fontId="14" fillId="3" borderId="0" xfId="0" applyFont="1" applyFill="1" applyBorder="1" applyAlignment="1" applyProtection="1">
      <alignment vertical="center"/>
    </xf>
    <xf numFmtId="0" fontId="14" fillId="3" borderId="0" xfId="0" applyFont="1" applyFill="1" applyBorder="1" applyAlignment="1" applyProtection="1"/>
    <xf numFmtId="0" fontId="14" fillId="3" borderId="0" xfId="0" applyFont="1" applyFill="1" applyBorder="1" applyAlignment="1" applyProtection="1">
      <alignment horizontal="center"/>
    </xf>
    <xf numFmtId="0" fontId="14" fillId="3" borderId="0" xfId="0" applyFont="1" applyFill="1" applyBorder="1" applyAlignment="1" applyProtection="1">
      <alignment horizontal="right"/>
    </xf>
    <xf numFmtId="0" fontId="7" fillId="3" borderId="2" xfId="0" applyFont="1" applyFill="1" applyBorder="1" applyAlignment="1" applyProtection="1">
      <alignment horizontal="left"/>
    </xf>
    <xf numFmtId="0" fontId="8" fillId="3" borderId="0" xfId="2" applyFont="1" applyFill="1" applyBorder="1" applyAlignment="1" applyProtection="1">
      <alignment horizontal="center"/>
    </xf>
    <xf numFmtId="9" fontId="16" fillId="3" borderId="0" xfId="3" applyFont="1" applyFill="1" applyBorder="1" applyProtection="1"/>
    <xf numFmtId="0" fontId="9" fillId="3" borderId="0" xfId="0" applyFont="1" applyFill="1" applyBorder="1" applyAlignment="1" applyProtection="1">
      <alignment horizontal="left"/>
    </xf>
    <xf numFmtId="2" fontId="9" fillId="3" borderId="0" xfId="0" applyNumberFormat="1" applyFont="1" applyFill="1" applyBorder="1" applyAlignment="1" applyProtection="1"/>
    <xf numFmtId="165" fontId="5" fillId="3" borderId="0" xfId="0" applyNumberFormat="1" applyFont="1" applyFill="1" applyBorder="1" applyAlignment="1" applyProtection="1">
      <alignment horizontal="right"/>
    </xf>
    <xf numFmtId="0" fontId="17" fillId="3" borderId="2" xfId="0" applyFont="1" applyFill="1" applyBorder="1" applyProtection="1"/>
    <xf numFmtId="0" fontId="4" fillId="3" borderId="0" xfId="0" applyFont="1" applyFill="1" applyBorder="1" applyAlignment="1" applyProtection="1">
      <alignment vertical="center"/>
    </xf>
    <xf numFmtId="0" fontId="4" fillId="3" borderId="0" xfId="0" applyFont="1" applyFill="1" applyBorder="1" applyAlignment="1" applyProtection="1"/>
    <xf numFmtId="0" fontId="4" fillId="3" borderId="0" xfId="0" applyFont="1" applyFill="1" applyBorder="1" applyAlignment="1" applyProtection="1">
      <alignment horizontal="center"/>
    </xf>
    <xf numFmtId="0" fontId="4" fillId="3" borderId="0" xfId="0" applyFont="1" applyFill="1" applyBorder="1" applyProtection="1"/>
    <xf numFmtId="0" fontId="4" fillId="3" borderId="0" xfId="0" applyFont="1" applyFill="1" applyBorder="1" applyAlignment="1" applyProtection="1">
      <alignment horizontal="right"/>
    </xf>
    <xf numFmtId="165" fontId="4" fillId="3" borderId="0" xfId="0" applyNumberFormat="1" applyFont="1" applyFill="1" applyBorder="1" applyAlignment="1" applyProtection="1">
      <alignment horizontal="right"/>
    </xf>
    <xf numFmtId="2" fontId="5" fillId="3" borderId="0" xfId="0" applyNumberFormat="1" applyFont="1" applyFill="1" applyBorder="1" applyAlignment="1" applyProtection="1"/>
    <xf numFmtId="1" fontId="5" fillId="3" borderId="0" xfId="0" applyNumberFormat="1" applyFont="1" applyFill="1" applyBorder="1" applyProtection="1"/>
    <xf numFmtId="2" fontId="5" fillId="3" borderId="0" xfId="0" applyNumberFormat="1" applyFont="1" applyFill="1" applyBorder="1" applyProtection="1"/>
    <xf numFmtId="1" fontId="4" fillId="3" borderId="0" xfId="0" applyNumberFormat="1" applyFont="1" applyFill="1" applyBorder="1" applyAlignment="1" applyProtection="1">
      <alignment horizontal="right"/>
    </xf>
    <xf numFmtId="2" fontId="4" fillId="3" borderId="0" xfId="0" quotePrefix="1" applyNumberFormat="1" applyFont="1" applyFill="1" applyBorder="1" applyAlignment="1" applyProtection="1">
      <alignment horizontal="right"/>
    </xf>
    <xf numFmtId="0" fontId="13" fillId="3" borderId="0" xfId="0" applyFont="1" applyFill="1" applyBorder="1" applyAlignment="1" applyProtection="1">
      <alignment vertical="center"/>
    </xf>
    <xf numFmtId="0" fontId="13" fillId="3" borderId="0" xfId="0" applyFont="1" applyFill="1" applyBorder="1" applyAlignment="1" applyProtection="1"/>
    <xf numFmtId="0" fontId="13" fillId="3" borderId="0" xfId="0" applyFont="1" applyFill="1" applyBorder="1" applyAlignment="1" applyProtection="1">
      <alignment horizontal="left"/>
    </xf>
    <xf numFmtId="0" fontId="13" fillId="3" borderId="0" xfId="0" applyFont="1" applyFill="1" applyBorder="1" applyAlignment="1" applyProtection="1">
      <alignment horizontal="right"/>
    </xf>
    <xf numFmtId="1" fontId="13" fillId="3" borderId="0" xfId="0" applyNumberFormat="1" applyFont="1" applyFill="1" applyBorder="1" applyProtection="1"/>
    <xf numFmtId="0" fontId="18" fillId="3" borderId="3" xfId="0" applyFont="1" applyFill="1" applyBorder="1" applyProtection="1"/>
    <xf numFmtId="3" fontId="4" fillId="2" borderId="1" xfId="0" applyNumberFormat="1" applyFont="1" applyFill="1" applyBorder="1" applyAlignment="1" applyProtection="1">
      <alignment horizontal="right" vertical="top" wrapText="1"/>
      <protection locked="0"/>
    </xf>
    <xf numFmtId="3" fontId="4" fillId="2" borderId="5" xfId="0" applyNumberFormat="1" applyFont="1" applyFill="1" applyBorder="1" applyAlignment="1" applyProtection="1">
      <alignment horizontal="right" vertical="top" wrapText="1"/>
      <protection locked="0"/>
    </xf>
    <xf numFmtId="3" fontId="4" fillId="2" borderId="1" xfId="0" applyNumberFormat="1" applyFont="1" applyFill="1" applyBorder="1" applyAlignment="1" applyProtection="1">
      <alignment horizontal="right"/>
      <protection locked="0"/>
    </xf>
    <xf numFmtId="0" fontId="6" fillId="4" borderId="0" xfId="0" applyFont="1" applyFill="1" applyProtection="1"/>
    <xf numFmtId="10" fontId="6" fillId="4" borderId="0" xfId="1" applyNumberFormat="1" applyFont="1" applyFill="1" applyProtection="1"/>
    <xf numFmtId="9" fontId="4" fillId="2" borderId="1" xfId="3" applyFont="1" applyFill="1" applyBorder="1" applyAlignment="1" applyProtection="1">
      <alignment horizontal="right"/>
      <protection locked="0"/>
    </xf>
    <xf numFmtId="0" fontId="6" fillId="0" borderId="0" xfId="0" applyFont="1" applyBorder="1" applyAlignment="1">
      <alignment wrapText="1"/>
    </xf>
    <xf numFmtId="0" fontId="6" fillId="0" borderId="12" xfId="0" applyFont="1" applyFill="1" applyBorder="1" applyAlignment="1">
      <alignment vertical="center"/>
    </xf>
    <xf numFmtId="0" fontId="6" fillId="0" borderId="12" xfId="0" applyFont="1" applyBorder="1" applyAlignment="1"/>
    <xf numFmtId="0" fontId="6" fillId="0" borderId="12" xfId="0" applyFont="1" applyBorder="1" applyAlignment="1">
      <alignment wrapText="1"/>
    </xf>
    <xf numFmtId="0" fontId="6" fillId="0" borderId="0" xfId="0" applyFont="1" applyFill="1" applyBorder="1" applyAlignment="1">
      <alignment vertical="center"/>
    </xf>
    <xf numFmtId="0" fontId="6" fillId="0" borderId="0" xfId="0" applyFont="1" applyFill="1" applyBorder="1" applyAlignment="1">
      <alignment vertical="center" wrapText="1"/>
    </xf>
    <xf numFmtId="0" fontId="6" fillId="0" borderId="12" xfId="0" applyFont="1" applyFill="1" applyBorder="1" applyAlignment="1">
      <alignment vertical="center" wrapText="1"/>
    </xf>
    <xf numFmtId="0" fontId="6" fillId="0" borderId="0" xfId="0" applyFont="1" applyBorder="1" applyAlignment="1">
      <alignment vertical="center" wrapText="1"/>
    </xf>
    <xf numFmtId="2" fontId="4" fillId="2" borderId="1" xfId="3" applyNumberFormat="1" applyFont="1" applyFill="1" applyBorder="1" applyAlignment="1" applyProtection="1">
      <alignment horizontal="right"/>
      <protection locked="0"/>
    </xf>
    <xf numFmtId="2" fontId="12" fillId="0" borderId="0" xfId="0" applyNumberFormat="1" applyFont="1" applyBorder="1" applyAlignment="1" applyProtection="1"/>
    <xf numFmtId="0" fontId="24" fillId="0" borderId="0" xfId="0" applyFont="1" applyBorder="1" applyAlignment="1" applyProtection="1"/>
    <xf numFmtId="0" fontId="25" fillId="0" borderId="15" xfId="0" applyFont="1" applyBorder="1" applyAlignment="1" applyProtection="1"/>
    <xf numFmtId="0" fontId="24" fillId="0" borderId="0" xfId="0" applyFont="1" applyBorder="1" applyAlignment="1" applyProtection="1">
      <alignment vertical="center"/>
    </xf>
    <xf numFmtId="0" fontId="24" fillId="3" borderId="0" xfId="0" applyFont="1" applyFill="1" applyBorder="1" applyAlignment="1" applyProtection="1"/>
    <xf numFmtId="2" fontId="24" fillId="3" borderId="0" xfId="3" applyNumberFormat="1" applyFont="1" applyFill="1" applyBorder="1" applyAlignment="1" applyProtection="1"/>
    <xf numFmtId="2" fontId="24" fillId="3" borderId="0" xfId="0" applyNumberFormat="1" applyFont="1" applyFill="1" applyBorder="1" applyAlignment="1" applyProtection="1"/>
    <xf numFmtId="0" fontId="26" fillId="3" borderId="0" xfId="0" applyFont="1" applyFill="1" applyBorder="1" applyAlignment="1" applyProtection="1"/>
    <xf numFmtId="2" fontId="26" fillId="3" borderId="0" xfId="0" applyNumberFormat="1" applyFont="1" applyFill="1" applyBorder="1" applyAlignment="1" applyProtection="1"/>
    <xf numFmtId="9" fontId="24" fillId="3" borderId="0" xfId="3" applyFont="1" applyFill="1" applyBorder="1" applyAlignment="1" applyProtection="1">
      <alignment horizontal="left"/>
    </xf>
    <xf numFmtId="0" fontId="24" fillId="3" borderId="0" xfId="0" applyFont="1" applyFill="1" applyBorder="1" applyAlignment="1" applyProtection="1">
      <alignment horizontal="left"/>
    </xf>
    <xf numFmtId="0" fontId="26" fillId="3" borderId="0" xfId="0" applyFont="1" applyFill="1" applyBorder="1" applyAlignment="1" applyProtection="1">
      <alignment horizontal="left"/>
    </xf>
    <xf numFmtId="0" fontId="24" fillId="0" borderId="9" xfId="0" applyFont="1" applyBorder="1" applyAlignment="1" applyProtection="1"/>
    <xf numFmtId="1" fontId="24" fillId="0" borderId="9" xfId="0" applyNumberFormat="1" applyFont="1" applyBorder="1" applyProtection="1"/>
    <xf numFmtId="0" fontId="4" fillId="2" borderId="1" xfId="0" applyFont="1" applyFill="1" applyBorder="1" applyAlignment="1" applyProtection="1">
      <alignment horizontal="left"/>
      <protection locked="0"/>
    </xf>
    <xf numFmtId="2" fontId="6" fillId="0" borderId="0" xfId="0" applyNumberFormat="1" applyFont="1" applyFill="1" applyBorder="1" applyProtection="1"/>
    <xf numFmtId="9" fontId="4" fillId="2" borderId="1" xfId="3" applyFont="1" applyFill="1" applyBorder="1" applyProtection="1">
      <protection locked="0"/>
    </xf>
    <xf numFmtId="3" fontId="6" fillId="0" borderId="0" xfId="0" applyNumberFormat="1" applyFont="1" applyProtection="1"/>
    <xf numFmtId="3" fontId="6" fillId="0" borderId="9" xfId="0" applyNumberFormat="1" applyFont="1" applyBorder="1" applyProtection="1"/>
    <xf numFmtId="0" fontId="19" fillId="0" borderId="1" xfId="0" applyFont="1" applyBorder="1" applyAlignment="1">
      <alignment wrapText="1"/>
    </xf>
    <xf numFmtId="0" fontId="19" fillId="0" borderId="1" xfId="0" applyFont="1" applyBorder="1" applyAlignment="1">
      <alignment horizontal="center" wrapText="1"/>
    </xf>
    <xf numFmtId="0" fontId="11" fillId="0" borderId="1" xfId="0" applyFont="1" applyBorder="1" applyAlignment="1">
      <alignment horizontal="left" wrapText="1"/>
    </xf>
    <xf numFmtId="0" fontId="11" fillId="0" borderId="1" xfId="0" applyFont="1" applyBorder="1"/>
    <xf numFmtId="0" fontId="20" fillId="0" borderId="1" xfId="0" applyFont="1" applyBorder="1" applyAlignment="1">
      <alignment horizontal="center"/>
    </xf>
    <xf numFmtId="0" fontId="20" fillId="0" borderId="1" xfId="0" applyFont="1" applyBorder="1" applyAlignment="1">
      <alignment horizontal="center" wrapText="1"/>
    </xf>
    <xf numFmtId="0" fontId="28" fillId="0" borderId="1" xfId="0" applyFont="1" applyBorder="1" applyAlignment="1">
      <alignment horizontal="center" wrapText="1"/>
    </xf>
    <xf numFmtId="0" fontId="27" fillId="0" borderId="0" xfId="0" applyFont="1" applyBorder="1" applyAlignment="1" applyProtection="1">
      <alignment horizontal="right"/>
    </xf>
    <xf numFmtId="3" fontId="6" fillId="0" borderId="0" xfId="0" applyNumberFormat="1" applyFont="1" applyFill="1" applyBorder="1" applyAlignment="1" applyProtection="1">
      <alignment horizontal="right"/>
    </xf>
    <xf numFmtId="0" fontId="24" fillId="0" borderId="0" xfId="0" applyFont="1" applyBorder="1" applyAlignment="1" applyProtection="1">
      <alignment horizontal="right"/>
    </xf>
    <xf numFmtId="0" fontId="7" fillId="0" borderId="0" xfId="0" applyFont="1" applyBorder="1" applyAlignment="1" applyProtection="1">
      <alignment horizontal="center"/>
    </xf>
    <xf numFmtId="0" fontId="19" fillId="5" borderId="1" xfId="0" applyFont="1" applyFill="1" applyBorder="1" applyAlignment="1" applyProtection="1">
      <alignment wrapText="1"/>
      <protection locked="0"/>
    </xf>
    <xf numFmtId="0" fontId="19" fillId="5" borderId="1" xfId="0" applyFont="1" applyFill="1" applyBorder="1" applyAlignment="1" applyProtection="1">
      <alignment horizontal="center" wrapText="1"/>
      <protection locked="0"/>
    </xf>
    <xf numFmtId="0" fontId="7" fillId="0" borderId="18" xfId="0" applyFont="1" applyBorder="1"/>
    <xf numFmtId="0" fontId="6" fillId="0" borderId="17" xfId="0" applyFont="1" applyBorder="1" applyAlignment="1">
      <alignment vertical="center"/>
    </xf>
    <xf numFmtId="0" fontId="6" fillId="0" borderId="17" xfId="0" applyFont="1" applyBorder="1" applyAlignment="1">
      <alignment vertical="center" wrapText="1"/>
    </xf>
    <xf numFmtId="0" fontId="7" fillId="0" borderId="19" xfId="0" applyFont="1" applyBorder="1"/>
    <xf numFmtId="0" fontId="6" fillId="0" borderId="1" xfId="0" applyFont="1" applyBorder="1" applyAlignment="1">
      <alignment vertical="center"/>
    </xf>
    <xf numFmtId="0" fontId="24" fillId="0" borderId="1" xfId="0" applyFont="1" applyBorder="1" applyAlignment="1">
      <alignment vertical="center"/>
    </xf>
    <xf numFmtId="0" fontId="6" fillId="0" borderId="1" xfId="0" applyFont="1" applyBorder="1" applyAlignment="1">
      <alignment vertical="center" wrapText="1"/>
    </xf>
    <xf numFmtId="0" fontId="7" fillId="0" borderId="19" xfId="0" applyFont="1" applyBorder="1" applyAlignment="1">
      <alignment horizontal="left"/>
    </xf>
    <xf numFmtId="0" fontId="7" fillId="0" borderId="20" xfId="0" applyFont="1" applyBorder="1" applyAlignment="1">
      <alignment horizontal="left"/>
    </xf>
    <xf numFmtId="0" fontId="6" fillId="0" borderId="21" xfId="0" applyFont="1" applyBorder="1" applyAlignment="1">
      <alignment vertical="center"/>
    </xf>
    <xf numFmtId="0" fontId="6" fillId="0" borderId="21" xfId="0" applyFont="1" applyBorder="1" applyAlignment="1">
      <alignment vertical="center" wrapText="1"/>
    </xf>
    <xf numFmtId="0" fontId="6" fillId="0" borderId="22" xfId="0" applyFont="1" applyBorder="1"/>
    <xf numFmtId="0" fontId="6" fillId="0" borderId="23" xfId="0" applyFont="1" applyBorder="1" applyAlignment="1">
      <alignment vertical="center"/>
    </xf>
    <xf numFmtId="0" fontId="10" fillId="0" borderId="23" xfId="0" applyFont="1" applyBorder="1" applyAlignment="1">
      <alignment vertical="center"/>
    </xf>
    <xf numFmtId="0" fontId="6" fillId="0" borderId="23" xfId="0" applyFont="1" applyBorder="1" applyAlignment="1">
      <alignment vertical="center" wrapText="1"/>
    </xf>
    <xf numFmtId="0" fontId="6" fillId="0" borderId="19" xfId="0" applyFont="1" applyBorder="1"/>
    <xf numFmtId="0" fontId="10" fillId="0" borderId="1" xfId="0" applyFont="1" applyBorder="1" applyAlignment="1">
      <alignment vertical="center"/>
    </xf>
    <xf numFmtId="0" fontId="6" fillId="0" borderId="1" xfId="0" applyFont="1" applyFill="1" applyBorder="1" applyAlignment="1">
      <alignment vertical="center"/>
    </xf>
    <xf numFmtId="0" fontId="6" fillId="0" borderId="21" xfId="0" applyFont="1" applyFill="1" applyBorder="1" applyAlignment="1">
      <alignment vertical="center"/>
    </xf>
    <xf numFmtId="0" fontId="24" fillId="0" borderId="21" xfId="0" applyFont="1" applyBorder="1" applyAlignment="1">
      <alignment vertical="center"/>
    </xf>
    <xf numFmtId="0" fontId="6" fillId="0" borderId="19" xfId="0" applyFont="1" applyBorder="1" applyAlignment="1">
      <alignment vertical="center"/>
    </xf>
    <xf numFmtId="0" fontId="0" fillId="0" borderId="24" xfId="0" applyBorder="1"/>
    <xf numFmtId="0" fontId="7" fillId="0" borderId="25" xfId="0" applyFont="1" applyBorder="1" applyAlignment="1">
      <alignment vertical="center"/>
    </xf>
    <xf numFmtId="0" fontId="6" fillId="0" borderId="26" xfId="0" applyFont="1" applyFill="1" applyBorder="1" applyAlignment="1">
      <alignment vertical="center"/>
    </xf>
    <xf numFmtId="0" fontId="6" fillId="0" borderId="26" xfId="0" applyFont="1" applyBorder="1" applyAlignment="1"/>
    <xf numFmtId="0" fontId="6" fillId="0" borderId="26" xfId="0" applyFont="1" applyBorder="1" applyAlignment="1">
      <alignment wrapText="1"/>
    </xf>
    <xf numFmtId="0" fontId="5" fillId="0" borderId="15" xfId="0" applyFont="1" applyBorder="1" applyAlignment="1"/>
    <xf numFmtId="0" fontId="0" fillId="0" borderId="21" xfId="0" applyBorder="1" applyAlignment="1">
      <alignment vertical="center" wrapText="1"/>
    </xf>
    <xf numFmtId="0" fontId="0" fillId="3" borderId="0" xfId="0" applyFill="1" applyBorder="1" applyProtection="1"/>
    <xf numFmtId="0" fontId="0" fillId="3" borderId="0" xfId="0" applyFill="1" applyBorder="1" applyAlignment="1" applyProtection="1">
      <alignment horizontal="left"/>
    </xf>
    <xf numFmtId="0" fontId="19" fillId="0" borderId="0" xfId="0" applyFont="1" applyBorder="1" applyAlignment="1" applyProtection="1">
      <alignment wrapText="1"/>
    </xf>
    <xf numFmtId="0" fontId="19" fillId="0" borderId="0" xfId="0" applyFont="1" applyBorder="1" applyAlignment="1" applyProtection="1">
      <alignment horizontal="center" wrapText="1"/>
    </xf>
    <xf numFmtId="0" fontId="11" fillId="0" borderId="0" xfId="0" applyFont="1" applyProtection="1"/>
    <xf numFmtId="0" fontId="0" fillId="0" borderId="9" xfId="0" applyBorder="1" applyProtection="1"/>
    <xf numFmtId="0" fontId="23" fillId="0" borderId="0" xfId="0" applyFont="1" applyBorder="1" applyAlignment="1" applyProtection="1">
      <alignment horizontal="center"/>
    </xf>
    <xf numFmtId="0" fontId="0" fillId="0" borderId="0" xfId="0" applyBorder="1" applyAlignment="1" applyProtection="1">
      <alignment vertical="center"/>
    </xf>
    <xf numFmtId="0" fontId="21" fillId="2" borderId="7" xfId="0" applyFont="1" applyFill="1" applyBorder="1" applyAlignment="1" applyProtection="1">
      <alignment horizontal="left"/>
      <protection locked="0"/>
    </xf>
    <xf numFmtId="0" fontId="21" fillId="2" borderId="0" xfId="0" applyFont="1" applyFill="1" applyBorder="1" applyAlignment="1" applyProtection="1">
      <alignment horizontal="left"/>
      <protection locked="0"/>
    </xf>
    <xf numFmtId="0" fontId="21" fillId="2" borderId="12" xfId="0" applyFont="1" applyFill="1" applyBorder="1" applyAlignment="1" applyProtection="1">
      <alignment horizontal="left"/>
      <protection locked="0"/>
    </xf>
    <xf numFmtId="0" fontId="5" fillId="0" borderId="0" xfId="0" applyFont="1" applyBorder="1" applyAlignment="1" applyProtection="1">
      <alignment horizontal="center" wrapText="1"/>
    </xf>
    <xf numFmtId="9" fontId="4" fillId="2" borderId="15" xfId="0" applyNumberFormat="1" applyFont="1" applyFill="1" applyBorder="1" applyAlignment="1" applyProtection="1">
      <alignment horizontal="right"/>
      <protection locked="0"/>
    </xf>
    <xf numFmtId="0" fontId="5" fillId="0" borderId="7" xfId="0" applyFont="1" applyFill="1" applyBorder="1" applyAlignment="1" applyProtection="1">
      <alignment horizontal="right"/>
    </xf>
    <xf numFmtId="0" fontId="6" fillId="0" borderId="12" xfId="0" applyFont="1" applyBorder="1" applyProtection="1"/>
    <xf numFmtId="0" fontId="6" fillId="0" borderId="11" xfId="0" applyFont="1" applyBorder="1" applyProtection="1"/>
    <xf numFmtId="0" fontId="6" fillId="0" borderId="13" xfId="0" applyFont="1" applyBorder="1" applyProtection="1"/>
    <xf numFmtId="0" fontId="9" fillId="0" borderId="0" xfId="0" applyFont="1" applyBorder="1" applyAlignment="1" applyProtection="1">
      <alignment horizontal="center"/>
    </xf>
    <xf numFmtId="164" fontId="27" fillId="0" borderId="0" xfId="0" applyNumberFormat="1" applyFont="1" applyBorder="1" applyProtection="1"/>
    <xf numFmtId="0" fontId="6" fillId="0" borderId="10" xfId="0" applyFont="1" applyBorder="1" applyAlignment="1" applyProtection="1"/>
    <xf numFmtId="164" fontId="6" fillId="0" borderId="0" xfId="0" applyNumberFormat="1" applyFont="1" applyProtection="1"/>
    <xf numFmtId="0" fontId="6" fillId="0" borderId="15" xfId="0" applyFont="1" applyFill="1" applyBorder="1" applyAlignment="1" applyProtection="1">
      <alignment vertical="center"/>
    </xf>
    <xf numFmtId="0" fontId="6" fillId="0" borderId="15" xfId="0" applyFont="1" applyBorder="1" applyAlignment="1" applyProtection="1"/>
    <xf numFmtId="0" fontId="6" fillId="0" borderId="15" xfId="0" applyFont="1" applyBorder="1" applyProtection="1"/>
    <xf numFmtId="0" fontId="6" fillId="0" borderId="15" xfId="0" applyFont="1" applyBorder="1" applyAlignment="1" applyProtection="1">
      <alignment horizontal="right"/>
    </xf>
    <xf numFmtId="0" fontId="9" fillId="0" borderId="15" xfId="0" applyFont="1" applyBorder="1" applyAlignment="1" applyProtection="1">
      <alignment horizontal="center"/>
    </xf>
    <xf numFmtId="0" fontId="6" fillId="0" borderId="0" xfId="0" applyFont="1" applyBorder="1" applyAlignment="1" applyProtection="1">
      <alignment horizontal="right" vertical="top" wrapText="1"/>
    </xf>
    <xf numFmtId="0" fontId="6" fillId="0" borderId="0" xfId="0" applyFont="1" applyFill="1" applyBorder="1" applyAlignment="1" applyProtection="1">
      <alignment vertical="center"/>
    </xf>
    <xf numFmtId="0" fontId="6" fillId="0" borderId="15" xfId="0" applyFont="1" applyBorder="1" applyAlignment="1" applyProtection="1">
      <alignment horizontal="left"/>
    </xf>
    <xf numFmtId="9" fontId="6" fillId="0" borderId="0" xfId="3" applyNumberFormat="1" applyFont="1" applyProtection="1"/>
    <xf numFmtId="0" fontId="6" fillId="0" borderId="14" xfId="0" applyFont="1" applyBorder="1" applyProtection="1"/>
    <xf numFmtId="0" fontId="6" fillId="0" borderId="12" xfId="0" applyFont="1" applyBorder="1" applyAlignment="1" applyProtection="1">
      <alignment vertical="center"/>
    </xf>
    <xf numFmtId="0" fontId="6" fillId="3" borderId="0" xfId="0" applyFont="1" applyFill="1" applyBorder="1" applyAlignment="1" applyProtection="1">
      <alignment vertical="center"/>
    </xf>
    <xf numFmtId="0" fontId="6" fillId="3" borderId="0" xfId="0" applyFont="1" applyFill="1" applyBorder="1" applyProtection="1"/>
    <xf numFmtId="0" fontId="6" fillId="3" borderId="0" xfId="0" applyFont="1" applyFill="1" applyBorder="1" applyAlignment="1" applyProtection="1"/>
    <xf numFmtId="0" fontId="6" fillId="3" borderId="0" xfId="0" applyFont="1" applyFill="1" applyBorder="1" applyAlignment="1" applyProtection="1">
      <alignment horizontal="center"/>
    </xf>
    <xf numFmtId="0" fontId="6" fillId="3" borderId="0" xfId="0" applyFont="1" applyFill="1" applyBorder="1" applyAlignment="1" applyProtection="1">
      <alignment horizontal="right"/>
    </xf>
    <xf numFmtId="1" fontId="6" fillId="3" borderId="0" xfId="0" applyNumberFormat="1" applyFont="1" applyFill="1" applyBorder="1" applyAlignment="1" applyProtection="1"/>
    <xf numFmtId="0" fontId="6" fillId="3" borderId="0" xfId="0" applyFont="1" applyFill="1" applyBorder="1" applyAlignment="1" applyProtection="1">
      <alignment horizontal="left"/>
    </xf>
    <xf numFmtId="2" fontId="6" fillId="3" borderId="0" xfId="0" applyNumberFormat="1" applyFont="1" applyFill="1" applyBorder="1" applyAlignment="1" applyProtection="1"/>
    <xf numFmtId="2" fontId="6" fillId="0" borderId="0" xfId="0" applyNumberFormat="1" applyFont="1" applyProtection="1"/>
    <xf numFmtId="9" fontId="6" fillId="3" borderId="0" xfId="3" applyNumberFormat="1" applyFont="1" applyFill="1" applyBorder="1" applyAlignment="1" applyProtection="1">
      <alignment horizontal="right"/>
    </xf>
    <xf numFmtId="0" fontId="6" fillId="3" borderId="0" xfId="0" applyFont="1" applyFill="1" applyBorder="1" applyAlignment="1" applyProtection="1">
      <alignment horizontal="right" vertical="top" wrapText="1"/>
    </xf>
    <xf numFmtId="0" fontId="6" fillId="3" borderId="0" xfId="0" applyFont="1" applyFill="1" applyBorder="1" applyAlignment="1" applyProtection="1">
      <alignment horizontal="left" vertical="center"/>
    </xf>
    <xf numFmtId="2" fontId="6" fillId="3" borderId="0" xfId="3" applyNumberFormat="1" applyFont="1" applyFill="1" applyBorder="1" applyAlignment="1" applyProtection="1"/>
    <xf numFmtId="9" fontId="6" fillId="3" borderId="0" xfId="3" applyFont="1" applyFill="1" applyBorder="1" applyAlignment="1" applyProtection="1">
      <alignment horizontal="left"/>
    </xf>
    <xf numFmtId="0" fontId="15" fillId="3" borderId="0" xfId="0" applyFont="1" applyFill="1" applyBorder="1" applyAlignment="1" applyProtection="1">
      <alignment vertical="top"/>
    </xf>
    <xf numFmtId="0" fontId="4" fillId="3" borderId="0" xfId="0" applyFont="1" applyFill="1" applyBorder="1" applyAlignment="1" applyProtection="1">
      <alignment vertical="top"/>
    </xf>
    <xf numFmtId="2" fontId="31" fillId="3" borderId="0" xfId="0" applyNumberFormat="1" applyFont="1" applyFill="1" applyBorder="1" applyAlignment="1" applyProtection="1">
      <alignment vertical="top"/>
    </xf>
    <xf numFmtId="1" fontId="13" fillId="3" borderId="0" xfId="0" applyNumberFormat="1" applyFont="1" applyFill="1" applyBorder="1" applyAlignment="1" applyProtection="1"/>
    <xf numFmtId="1" fontId="6" fillId="3" borderId="0" xfId="0" applyNumberFormat="1" applyFont="1" applyFill="1" applyBorder="1" applyProtection="1"/>
    <xf numFmtId="0" fontId="6" fillId="3" borderId="12" xfId="0" applyFont="1" applyFill="1" applyBorder="1" applyAlignment="1" applyProtection="1">
      <alignment vertical="center"/>
    </xf>
    <xf numFmtId="0" fontId="6" fillId="3" borderId="12" xfId="0" applyFont="1" applyFill="1" applyBorder="1" applyAlignment="1" applyProtection="1"/>
    <xf numFmtId="0" fontId="6" fillId="3" borderId="12" xfId="0" applyFont="1" applyFill="1" applyBorder="1" applyAlignment="1" applyProtection="1">
      <alignment horizontal="center"/>
    </xf>
    <xf numFmtId="0" fontId="6" fillId="3" borderId="12" xfId="0" applyFont="1" applyFill="1" applyBorder="1" applyAlignment="1" applyProtection="1">
      <alignment horizontal="left"/>
    </xf>
    <xf numFmtId="0" fontId="6" fillId="3" borderId="12" xfId="0" applyFont="1" applyFill="1" applyBorder="1" applyProtection="1"/>
    <xf numFmtId="0" fontId="6" fillId="3" borderId="12" xfId="0" applyFont="1" applyFill="1" applyBorder="1" applyAlignment="1" applyProtection="1">
      <alignment horizontal="right"/>
    </xf>
    <xf numFmtId="1" fontId="6" fillId="3" borderId="12" xfId="0" applyNumberFormat="1" applyFont="1" applyFill="1" applyBorder="1" applyProtection="1"/>
    <xf numFmtId="1" fontId="13" fillId="3" borderId="12" xfId="0" applyNumberFormat="1" applyFont="1" applyFill="1" applyBorder="1" applyProtection="1"/>
    <xf numFmtId="0" fontId="6" fillId="0" borderId="0" xfId="0" applyFont="1" applyAlignment="1">
      <alignment vertical="center"/>
    </xf>
    <xf numFmtId="0" fontId="6" fillId="0" borderId="0" xfId="0" applyFont="1" applyAlignment="1"/>
    <xf numFmtId="0" fontId="6" fillId="0" borderId="0" xfId="0" applyFont="1" applyProtection="1">
      <protection hidden="1"/>
    </xf>
    <xf numFmtId="0" fontId="6" fillId="0" borderId="0" xfId="0" applyFont="1" applyAlignment="1" applyProtection="1">
      <alignment vertical="center"/>
      <protection hidden="1"/>
    </xf>
    <xf numFmtId="0" fontId="6" fillId="0" borderId="0" xfId="0" applyFont="1" applyAlignment="1" applyProtection="1">
      <protection hidden="1"/>
    </xf>
    <xf numFmtId="0" fontId="6" fillId="0" borderId="0" xfId="0" applyFont="1" applyAlignment="1" applyProtection="1">
      <alignment wrapText="1"/>
      <protection hidden="1"/>
    </xf>
    <xf numFmtId="0" fontId="6" fillId="0" borderId="0" xfId="0" applyFont="1" applyAlignment="1" applyProtection="1">
      <alignment vertical="center" wrapText="1"/>
      <protection hidden="1"/>
    </xf>
    <xf numFmtId="0" fontId="5" fillId="0" borderId="5" xfId="0" applyFont="1" applyBorder="1" applyAlignment="1" applyProtection="1">
      <alignment horizontal="center"/>
      <protection locked="0"/>
    </xf>
    <xf numFmtId="0" fontId="0" fillId="0" borderId="1" xfId="0" applyBorder="1" applyAlignment="1">
      <alignment horizontal="left" wrapText="1"/>
    </xf>
    <xf numFmtId="0" fontId="6" fillId="0" borderId="1" xfId="0" applyFont="1" applyBorder="1" applyAlignment="1">
      <alignment horizontal="left" wrapText="1"/>
    </xf>
    <xf numFmtId="0" fontId="6" fillId="0" borderId="27" xfId="0" applyFont="1" applyBorder="1" applyAlignment="1">
      <alignment horizontal="left" wrapText="1"/>
    </xf>
    <xf numFmtId="0" fontId="6" fillId="0" borderId="1" xfId="0" applyFont="1" applyBorder="1" applyAlignment="1">
      <alignment horizontal="left" vertical="top" wrapText="1"/>
    </xf>
    <xf numFmtId="0" fontId="6" fillId="0" borderId="27" xfId="0" applyFont="1" applyBorder="1" applyAlignment="1">
      <alignment horizontal="left" vertical="top" wrapText="1"/>
    </xf>
    <xf numFmtId="0" fontId="6" fillId="0" borderId="0" xfId="0" applyFont="1" applyBorder="1" applyAlignment="1">
      <alignment horizontal="left" wrapText="1"/>
    </xf>
    <xf numFmtId="0" fontId="6" fillId="0" borderId="4" xfId="0" applyFont="1" applyBorder="1" applyAlignment="1">
      <alignment horizontal="left" wrapText="1"/>
    </xf>
    <xf numFmtId="0" fontId="6" fillId="0" borderId="12" xfId="0" applyFont="1" applyBorder="1" applyAlignment="1">
      <alignment horizontal="left" wrapText="1"/>
    </xf>
    <xf numFmtId="0" fontId="6" fillId="0" borderId="28" xfId="0" applyFont="1" applyBorder="1" applyAlignment="1">
      <alignment horizontal="left" wrapText="1"/>
    </xf>
    <xf numFmtId="0" fontId="6" fillId="0" borderId="21" xfId="0" applyFont="1" applyBorder="1" applyAlignment="1">
      <alignment horizontal="left" wrapText="1"/>
    </xf>
    <xf numFmtId="0" fontId="6" fillId="0" borderId="29" xfId="0" applyFont="1" applyBorder="1" applyAlignment="1">
      <alignment horizontal="left" wrapText="1"/>
    </xf>
    <xf numFmtId="0" fontId="7" fillId="0" borderId="30" xfId="0" applyFont="1" applyBorder="1" applyAlignment="1">
      <alignment horizontal="left"/>
    </xf>
    <xf numFmtId="0" fontId="7" fillId="0" borderId="31" xfId="0" applyFont="1" applyBorder="1" applyAlignment="1">
      <alignment horizontal="left"/>
    </xf>
    <xf numFmtId="0" fontId="7" fillId="0" borderId="32" xfId="0" applyFont="1" applyBorder="1" applyAlignment="1">
      <alignment horizontal="left"/>
    </xf>
    <xf numFmtId="0" fontId="6" fillId="0" borderId="23" xfId="0" applyFont="1" applyBorder="1" applyAlignment="1">
      <alignment horizontal="left"/>
    </xf>
    <xf numFmtId="0" fontId="6" fillId="0" borderId="33" xfId="0" applyFont="1" applyBorder="1" applyAlignment="1">
      <alignment horizontal="left"/>
    </xf>
    <xf numFmtId="0" fontId="6" fillId="0" borderId="17" xfId="0" applyFont="1" applyBorder="1" applyAlignment="1">
      <alignment horizontal="left" wrapText="1"/>
    </xf>
    <xf numFmtId="0" fontId="6" fillId="0" borderId="34" xfId="0" applyFont="1" applyBorder="1" applyAlignment="1">
      <alignment horizontal="left" wrapText="1"/>
    </xf>
    <xf numFmtId="4" fontId="0" fillId="0" borderId="2" xfId="0" applyNumberFormat="1" applyBorder="1" applyAlignment="1">
      <alignment horizontal="left" wrapText="1"/>
    </xf>
    <xf numFmtId="4" fontId="6" fillId="0" borderId="0" xfId="0" applyNumberFormat="1" applyFont="1" applyBorder="1" applyAlignment="1">
      <alignment horizontal="left" wrapText="1"/>
    </xf>
    <xf numFmtId="4" fontId="6" fillId="0" borderId="4" xfId="0" applyNumberFormat="1" applyFont="1" applyBorder="1" applyAlignment="1">
      <alignment horizontal="left" wrapText="1"/>
    </xf>
    <xf numFmtId="4" fontId="6" fillId="0" borderId="2" xfId="0" applyNumberFormat="1" applyFont="1" applyBorder="1" applyAlignment="1">
      <alignment horizontal="left" wrapText="1"/>
    </xf>
    <xf numFmtId="0" fontId="6" fillId="0" borderId="1" xfId="0" applyFont="1" applyBorder="1" applyAlignment="1">
      <alignment horizontal="left"/>
    </xf>
    <xf numFmtId="0" fontId="6" fillId="0" borderId="27" xfId="0" applyFont="1" applyBorder="1" applyAlignment="1">
      <alignment horizontal="left"/>
    </xf>
    <xf numFmtId="0" fontId="21" fillId="2" borderId="5" xfId="0" applyFont="1" applyFill="1" applyBorder="1" applyAlignment="1" applyProtection="1">
      <alignment horizontal="left"/>
      <protection locked="0"/>
    </xf>
    <xf numFmtId="0" fontId="21" fillId="2" borderId="39" xfId="0" applyFont="1" applyFill="1" applyBorder="1" applyAlignment="1" applyProtection="1">
      <alignment horizontal="left"/>
      <protection locked="0"/>
    </xf>
    <xf numFmtId="0" fontId="21" fillId="2" borderId="41" xfId="0" applyFont="1" applyFill="1" applyBorder="1" applyAlignment="1" applyProtection="1">
      <alignment horizontal="left"/>
      <protection locked="0"/>
    </xf>
    <xf numFmtId="0" fontId="5" fillId="0" borderId="22" xfId="0" applyFont="1" applyBorder="1" applyAlignment="1">
      <alignment horizontal="left"/>
    </xf>
    <xf numFmtId="0" fontId="5" fillId="0" borderId="23" xfId="0" applyFont="1" applyBorder="1" applyAlignment="1">
      <alignment horizontal="left"/>
    </xf>
    <xf numFmtId="0" fontId="5" fillId="0" borderId="19" xfId="0" applyFont="1" applyBorder="1" applyAlignment="1">
      <alignment horizontal="left"/>
    </xf>
    <xf numFmtId="0" fontId="5" fillId="0" borderId="1" xfId="0" applyFont="1" applyBorder="1" applyAlignment="1">
      <alignment horizontal="left"/>
    </xf>
    <xf numFmtId="0" fontId="6" fillId="0" borderId="3" xfId="0" applyFont="1" applyBorder="1" applyAlignment="1">
      <alignment horizontal="center"/>
    </xf>
    <xf numFmtId="0" fontId="6" fillId="0" borderId="12" xfId="0" applyFont="1" applyBorder="1" applyAlignment="1">
      <alignment horizontal="center"/>
    </xf>
    <xf numFmtId="0" fontId="6" fillId="0" borderId="28" xfId="0" applyFont="1" applyBorder="1" applyAlignment="1">
      <alignment horizontal="center"/>
    </xf>
    <xf numFmtId="0" fontId="6" fillId="0" borderId="7" xfId="0" applyFont="1" applyBorder="1" applyAlignment="1">
      <alignment horizontal="center"/>
    </xf>
    <xf numFmtId="0" fontId="6" fillId="0" borderId="46" xfId="0" applyFont="1" applyBorder="1" applyAlignment="1">
      <alignment horizontal="center"/>
    </xf>
    <xf numFmtId="0" fontId="0" fillId="0" borderId="3" xfId="0" applyBorder="1" applyAlignment="1">
      <alignment horizontal="left" vertical="top" wrapText="1"/>
    </xf>
    <xf numFmtId="0" fontId="6" fillId="0" borderId="12" xfId="0" applyFont="1" applyBorder="1" applyAlignment="1">
      <alignment horizontal="left" vertical="top" wrapText="1"/>
    </xf>
    <xf numFmtId="0" fontId="6" fillId="0" borderId="28" xfId="0" applyFont="1" applyBorder="1" applyAlignment="1">
      <alignment horizontal="left" vertical="top" wrapText="1"/>
    </xf>
    <xf numFmtId="0" fontId="5" fillId="0" borderId="20" xfId="0" applyFont="1" applyBorder="1" applyAlignment="1">
      <alignment horizontal="left"/>
    </xf>
    <xf numFmtId="0" fontId="5" fillId="0" borderId="21" xfId="0" applyFont="1" applyBorder="1" applyAlignment="1">
      <alignment horizontal="left"/>
    </xf>
    <xf numFmtId="0" fontId="7" fillId="0" borderId="25" xfId="0" applyFont="1" applyBorder="1" applyAlignment="1">
      <alignment horizontal="center"/>
    </xf>
    <xf numFmtId="0" fontId="7" fillId="0" borderId="26" xfId="0" applyFont="1" applyBorder="1" applyAlignment="1">
      <alignment horizontal="center"/>
    </xf>
    <xf numFmtId="0" fontId="7" fillId="0" borderId="35" xfId="0" applyFont="1" applyBorder="1" applyAlignment="1">
      <alignment horizontal="center"/>
    </xf>
    <xf numFmtId="0" fontId="6" fillId="0" borderId="21" xfId="0" applyFont="1" applyBorder="1" applyAlignment="1">
      <alignment horizontal="left"/>
    </xf>
    <xf numFmtId="0" fontId="6" fillId="0" borderId="29" xfId="0" applyFont="1" applyBorder="1" applyAlignment="1">
      <alignment horizontal="left"/>
    </xf>
    <xf numFmtId="0" fontId="7" fillId="0" borderId="25" xfId="0" applyFont="1" applyBorder="1" applyAlignment="1">
      <alignment horizontal="center" vertical="center"/>
    </xf>
    <xf numFmtId="0" fontId="7" fillId="0" borderId="26" xfId="0" applyFont="1" applyBorder="1" applyAlignment="1">
      <alignment horizontal="center" vertical="center"/>
    </xf>
    <xf numFmtId="0" fontId="7" fillId="0" borderId="35" xfId="0" applyFont="1" applyBorder="1" applyAlignment="1">
      <alignment horizontal="center" vertical="center"/>
    </xf>
    <xf numFmtId="0" fontId="5" fillId="0" borderId="15" xfId="0" applyFont="1" applyBorder="1" applyAlignment="1">
      <alignment horizontal="left"/>
    </xf>
    <xf numFmtId="0" fontId="5" fillId="0" borderId="42" xfId="0" applyFont="1" applyBorder="1" applyAlignment="1">
      <alignment horizontal="left"/>
    </xf>
    <xf numFmtId="0" fontId="5" fillId="0" borderId="43" xfId="0" applyFont="1" applyBorder="1" applyAlignment="1">
      <alignment horizontal="left"/>
    </xf>
    <xf numFmtId="0" fontId="6" fillId="0" borderId="44" xfId="0" applyFont="1" applyBorder="1" applyAlignment="1">
      <alignment horizontal="left" wrapText="1"/>
    </xf>
    <xf numFmtId="0" fontId="6" fillId="0" borderId="45" xfId="0" applyFont="1" applyBorder="1" applyAlignment="1">
      <alignment horizontal="left" wrapText="1"/>
    </xf>
    <xf numFmtId="0" fontId="6" fillId="0" borderId="26" xfId="0" applyFont="1" applyBorder="1" applyAlignment="1">
      <alignment horizontal="left" wrapText="1"/>
    </xf>
    <xf numFmtId="0" fontId="6" fillId="0" borderId="35" xfId="0" applyFont="1" applyBorder="1" applyAlignment="1">
      <alignment horizontal="left" wrapText="1"/>
    </xf>
    <xf numFmtId="0" fontId="6" fillId="4" borderId="25" xfId="0" applyFont="1" applyFill="1" applyBorder="1" applyAlignment="1">
      <alignment horizontal="left" wrapText="1"/>
    </xf>
    <xf numFmtId="0" fontId="6" fillId="4" borderId="26" xfId="0" applyFont="1" applyFill="1" applyBorder="1" applyAlignment="1">
      <alignment horizontal="left" wrapText="1"/>
    </xf>
    <xf numFmtId="0" fontId="6" fillId="4" borderId="35" xfId="0" applyFont="1" applyFill="1" applyBorder="1" applyAlignment="1">
      <alignment horizontal="left" wrapText="1"/>
    </xf>
    <xf numFmtId="0" fontId="6" fillId="0" borderId="23" xfId="0" applyFont="1" applyBorder="1" applyAlignment="1">
      <alignment horizontal="left" wrapText="1"/>
    </xf>
    <xf numFmtId="0" fontId="6" fillId="0" borderId="33" xfId="0" applyFont="1" applyBorder="1" applyAlignment="1">
      <alignment horizontal="left" wrapText="1"/>
    </xf>
    <xf numFmtId="0" fontId="6" fillId="4" borderId="36" xfId="0" applyFont="1" applyFill="1" applyBorder="1" applyAlignment="1">
      <alignment horizontal="left" vertical="center" wrapText="1"/>
    </xf>
    <xf numFmtId="0" fontId="6" fillId="4" borderId="37" xfId="0" applyFont="1" applyFill="1" applyBorder="1" applyAlignment="1">
      <alignment horizontal="left" vertical="center" wrapText="1"/>
    </xf>
    <xf numFmtId="0" fontId="6" fillId="4" borderId="24" xfId="0" applyFont="1" applyFill="1" applyBorder="1" applyAlignment="1">
      <alignment horizontal="left" vertical="center" wrapText="1"/>
    </xf>
    <xf numFmtId="0" fontId="6" fillId="4" borderId="3" xfId="0" applyFont="1" applyFill="1" applyBorder="1" applyAlignment="1">
      <alignment horizontal="left" vertical="center" wrapText="1"/>
    </xf>
    <xf numFmtId="0" fontId="6" fillId="4" borderId="12" xfId="0" applyFont="1" applyFill="1" applyBorder="1" applyAlignment="1">
      <alignment horizontal="left" vertical="center" wrapText="1"/>
    </xf>
    <xf numFmtId="0" fontId="6" fillId="4" borderId="28" xfId="0" applyFont="1" applyFill="1" applyBorder="1" applyAlignment="1">
      <alignment horizontal="left" vertical="center" wrapText="1"/>
    </xf>
    <xf numFmtId="0" fontId="6" fillId="0" borderId="21" xfId="0" applyFont="1" applyBorder="1" applyAlignment="1">
      <alignment horizontal="left" vertical="top" wrapText="1"/>
    </xf>
    <xf numFmtId="0" fontId="6" fillId="0" borderId="29" xfId="0" applyFont="1" applyBorder="1" applyAlignment="1">
      <alignment horizontal="left" vertical="top" wrapText="1"/>
    </xf>
    <xf numFmtId="0" fontId="7" fillId="0" borderId="38" xfId="0" applyFont="1" applyBorder="1" applyAlignment="1">
      <alignment horizontal="left"/>
    </xf>
    <xf numFmtId="0" fontId="7" fillId="0" borderId="39" xfId="0" applyFont="1" applyBorder="1" applyAlignment="1">
      <alignment horizontal="left"/>
    </xf>
    <xf numFmtId="0" fontId="7" fillId="0" borderId="40" xfId="0" applyFont="1" applyBorder="1" applyAlignment="1">
      <alignment horizontal="left"/>
    </xf>
    <xf numFmtId="0" fontId="5" fillId="0" borderId="36" xfId="0" applyFont="1" applyBorder="1" applyAlignment="1">
      <alignment horizontal="center"/>
    </xf>
    <xf numFmtId="0" fontId="5" fillId="0" borderId="37" xfId="0" applyFont="1" applyBorder="1" applyAlignment="1">
      <alignment horizontal="center"/>
    </xf>
    <xf numFmtId="0" fontId="6" fillId="0" borderId="2" xfId="0" applyFont="1" applyBorder="1" applyAlignment="1">
      <alignment horizontal="center"/>
    </xf>
    <xf numFmtId="0" fontId="6" fillId="0" borderId="0" xfId="0" applyFont="1" applyBorder="1" applyAlignment="1">
      <alignment horizontal="center"/>
    </xf>
    <xf numFmtId="0" fontId="6" fillId="0" borderId="4" xfId="0" applyFont="1" applyBorder="1" applyAlignment="1">
      <alignment horizontal="center"/>
    </xf>
    <xf numFmtId="4" fontId="6" fillId="0" borderId="15" xfId="0" applyNumberFormat="1" applyFont="1" applyBorder="1" applyAlignment="1">
      <alignment horizontal="center" wrapText="1"/>
    </xf>
    <xf numFmtId="4" fontId="6" fillId="0" borderId="42" xfId="0" applyNumberFormat="1" applyFont="1" applyBorder="1" applyAlignment="1">
      <alignment horizontal="center" wrapText="1"/>
    </xf>
    <xf numFmtId="0" fontId="0" fillId="0" borderId="2" xfId="0" applyBorder="1" applyAlignment="1">
      <alignment horizontal="left" wrapText="1"/>
    </xf>
    <xf numFmtId="0" fontId="6" fillId="0" borderId="2" xfId="0" applyFont="1" applyBorder="1" applyAlignment="1">
      <alignment horizontal="left" wrapText="1"/>
    </xf>
    <xf numFmtId="0" fontId="21" fillId="2" borderId="1" xfId="0" applyFont="1" applyFill="1" applyBorder="1" applyAlignment="1" applyProtection="1">
      <alignment horizontal="left"/>
      <protection locked="0"/>
    </xf>
    <xf numFmtId="0" fontId="21" fillId="2" borderId="21" xfId="0" applyFont="1" applyFill="1" applyBorder="1" applyAlignment="1" applyProtection="1">
      <alignment horizontal="left"/>
      <protection locked="0"/>
    </xf>
    <xf numFmtId="0" fontId="20" fillId="0" borderId="1" xfId="0" applyFont="1" applyBorder="1" applyAlignment="1">
      <alignment horizontal="center"/>
    </xf>
    <xf numFmtId="0" fontId="5" fillId="0" borderId="9" xfId="0" applyFont="1" applyBorder="1" applyAlignment="1" applyProtection="1">
      <alignment horizontal="center"/>
      <protection locked="0"/>
    </xf>
  </cellXfs>
  <cellStyles count="4">
    <cellStyle name="Comma" xfId="1" builtinId="3"/>
    <cellStyle name="Hyperlink" xfId="2" builtinId="8"/>
    <cellStyle name="Normal" xfId="0" builtinId="0"/>
    <cellStyle name="Percent" xfId="3" builtinId="5"/>
  </cellStyles>
  <dxfs count="76">
    <dxf>
      <border>
        <left style="thin">
          <color indexed="64"/>
        </left>
        <right style="thin">
          <color indexed="64"/>
        </right>
        <top style="thin">
          <color indexed="64"/>
        </top>
        <bottom style="thin">
          <color indexed="64"/>
        </bottom>
      </border>
    </dxf>
    <dxf>
      <font>
        <b/>
        <i val="0"/>
        <strike/>
        <condense val="0"/>
        <extend val="0"/>
        <color indexed="10"/>
      </font>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26"/>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thin">
          <color indexed="64"/>
        </bottom>
      </border>
    </dxf>
    <dxf>
      <font>
        <condense val="0"/>
        <extend val="0"/>
        <color indexed="26"/>
      </font>
      <fill>
        <patternFill>
          <bgColor indexed="9"/>
        </patternFill>
      </fill>
      <border>
        <left style="hair">
          <color indexed="64"/>
        </left>
        <right style="hair">
          <color indexed="64"/>
        </right>
        <top style="thin">
          <color indexed="64"/>
        </top>
        <bottom style="thin">
          <color indexed="64"/>
        </bottom>
      </border>
    </dxf>
    <dxf>
      <font>
        <strike/>
        <condense val="0"/>
        <extend val="0"/>
        <color indexed="10"/>
      </font>
    </dxf>
    <dxf>
      <fill>
        <patternFill patternType="none">
          <bgColor indexed="65"/>
        </patternFill>
      </fill>
      <border>
        <left/>
        <right/>
      </border>
    </dxf>
    <dxf>
      <font>
        <strike/>
        <condense val="0"/>
        <extend val="0"/>
        <color indexed="10"/>
      </font>
    </dxf>
    <dxf>
      <font>
        <b/>
        <i/>
        <condense val="0"/>
        <extend val="0"/>
        <color indexed="14"/>
      </font>
    </dxf>
    <dxf>
      <border>
        <left style="thin">
          <color indexed="64"/>
        </left>
        <right style="thin">
          <color indexed="64"/>
        </right>
        <top style="thin">
          <color indexed="64"/>
        </top>
        <bottom style="thin">
          <color indexed="64"/>
        </bottom>
      </border>
    </dxf>
    <dxf>
      <font>
        <b/>
        <i val="0"/>
        <strike/>
        <condense val="0"/>
        <extend val="0"/>
        <color indexed="10"/>
      </font>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26"/>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thin">
          <color indexed="64"/>
        </bottom>
      </border>
    </dxf>
    <dxf>
      <font>
        <condense val="0"/>
        <extend val="0"/>
        <color indexed="26"/>
      </font>
      <fill>
        <patternFill>
          <bgColor indexed="9"/>
        </patternFill>
      </fill>
      <border>
        <left style="hair">
          <color indexed="64"/>
        </left>
        <right style="hair">
          <color indexed="64"/>
        </right>
        <top style="thin">
          <color indexed="64"/>
        </top>
        <bottom style="thin">
          <color indexed="64"/>
        </bottom>
      </border>
    </dxf>
    <dxf>
      <font>
        <strike/>
        <condense val="0"/>
        <extend val="0"/>
        <color indexed="10"/>
      </font>
    </dxf>
    <dxf>
      <fill>
        <patternFill patternType="none">
          <bgColor indexed="65"/>
        </patternFill>
      </fill>
      <border>
        <left/>
        <right/>
      </border>
    </dxf>
    <dxf>
      <font>
        <strike/>
        <condense val="0"/>
        <extend val="0"/>
        <color indexed="10"/>
      </font>
    </dxf>
    <dxf>
      <font>
        <b/>
        <i/>
        <condense val="0"/>
        <extend val="0"/>
        <color indexed="14"/>
      </font>
    </dxf>
    <dxf>
      <border>
        <left style="thin">
          <color indexed="64"/>
        </left>
        <right style="thin">
          <color indexed="64"/>
        </right>
        <top style="thin">
          <color indexed="64"/>
        </top>
        <bottom style="thin">
          <color indexed="64"/>
        </bottom>
      </border>
    </dxf>
    <dxf>
      <font>
        <b/>
        <i val="0"/>
        <strike/>
        <condense val="0"/>
        <extend val="0"/>
        <color indexed="10"/>
      </font>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26"/>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thin">
          <color indexed="64"/>
        </bottom>
      </border>
    </dxf>
    <dxf>
      <font>
        <condense val="0"/>
        <extend val="0"/>
        <color indexed="26"/>
      </font>
      <fill>
        <patternFill>
          <bgColor indexed="9"/>
        </patternFill>
      </fill>
      <border>
        <left style="hair">
          <color indexed="64"/>
        </left>
        <right style="hair">
          <color indexed="64"/>
        </right>
        <top style="thin">
          <color indexed="64"/>
        </top>
        <bottom style="thin">
          <color indexed="64"/>
        </bottom>
      </border>
    </dxf>
    <dxf>
      <font>
        <strike/>
        <condense val="0"/>
        <extend val="0"/>
        <color indexed="10"/>
      </font>
    </dxf>
    <dxf>
      <fill>
        <patternFill patternType="none">
          <bgColor indexed="65"/>
        </patternFill>
      </fill>
      <border>
        <left/>
        <right/>
      </border>
    </dxf>
    <dxf>
      <font>
        <strike/>
        <condense val="0"/>
        <extend val="0"/>
        <color indexed="10"/>
      </font>
    </dxf>
    <dxf>
      <font>
        <b/>
        <i/>
        <condense val="0"/>
        <extend val="0"/>
        <color indexed="14"/>
      </font>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b/>
        <i val="0"/>
        <condense val="0"/>
        <extend val="0"/>
        <color indexed="10"/>
      </font>
    </dxf>
    <dxf>
      <font>
        <b val="0"/>
        <i val="0"/>
        <condense val="0"/>
        <extend val="0"/>
        <color indexed="60"/>
      </font>
    </dxf>
    <dxf>
      <border>
        <left style="thin">
          <color indexed="64"/>
        </left>
        <right style="thin">
          <color indexed="64"/>
        </right>
        <top style="thin">
          <color indexed="64"/>
        </top>
        <bottom style="thin">
          <color indexed="64"/>
        </bottom>
      </border>
    </dxf>
    <dxf>
      <font>
        <b/>
        <i val="0"/>
        <strike/>
        <condense val="0"/>
        <extend val="0"/>
        <color indexed="10"/>
      </font>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26"/>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thin">
          <color indexed="64"/>
        </bottom>
      </border>
    </dxf>
    <dxf>
      <font>
        <condense val="0"/>
        <extend val="0"/>
        <color indexed="26"/>
      </font>
      <fill>
        <patternFill>
          <bgColor indexed="9"/>
        </patternFill>
      </fill>
      <border>
        <left style="hair">
          <color indexed="64"/>
        </left>
        <right style="hair">
          <color indexed="64"/>
        </right>
        <top style="thin">
          <color indexed="64"/>
        </top>
        <bottom style="thin">
          <color indexed="64"/>
        </bottom>
      </border>
    </dxf>
    <dxf>
      <font>
        <strike/>
        <condense val="0"/>
        <extend val="0"/>
        <color indexed="10"/>
      </font>
    </dxf>
    <dxf>
      <fill>
        <patternFill patternType="none">
          <bgColor indexed="65"/>
        </patternFill>
      </fill>
      <border>
        <left/>
        <right/>
      </border>
    </dxf>
    <dxf>
      <font>
        <strike/>
        <condense val="0"/>
        <extend val="0"/>
        <color indexed="10"/>
      </font>
    </dxf>
    <dxf>
      <font>
        <b/>
        <i/>
        <condense val="0"/>
        <extend val="0"/>
        <color indexed="14"/>
      </font>
    </dxf>
    <dxf>
      <font>
        <condense val="0"/>
        <extend val="0"/>
        <color indexed="8"/>
      </font>
    </dxf>
    <dxf>
      <font>
        <condense val="0"/>
        <extend val="0"/>
        <color indexed="8"/>
      </font>
    </dxf>
    <dxf>
      <font>
        <condense val="0"/>
        <extend val="0"/>
        <color indexed="8"/>
      </font>
    </dxf>
    <dxf>
      <font>
        <condense val="0"/>
        <extend val="0"/>
        <color indexed="8"/>
      </font>
      <fill>
        <patternFill patternType="none">
          <bgColor indexed="65"/>
        </patternFill>
      </fill>
    </dxf>
    <dxf>
      <font>
        <b/>
        <i/>
        <condense val="0"/>
        <extend val="0"/>
        <color indexed="14"/>
      </font>
    </dxf>
    <dxf>
      <font>
        <b/>
        <i/>
        <condense val="0"/>
        <extend val="0"/>
        <color indexed="14"/>
      </font>
    </dxf>
    <dxf>
      <font>
        <b/>
        <i/>
        <condense val="0"/>
        <extend val="0"/>
        <color indexed="14"/>
      </font>
    </dxf>
    <dxf>
      <font>
        <condense val="0"/>
        <extend val="0"/>
        <color indexed="26"/>
      </font>
      <fill>
        <patternFill>
          <bgColor indexed="9"/>
        </patternFill>
      </fill>
      <border>
        <left style="hair">
          <color indexed="64"/>
        </left>
        <right style="hair">
          <color indexed="64"/>
        </right>
        <top style="hair">
          <color indexed="64"/>
        </top>
        <bottom style="thin">
          <color indexed="64"/>
        </bottom>
      </border>
    </dxf>
    <dxf>
      <border>
        <left style="thin">
          <color indexed="64"/>
        </left>
        <right style="thin">
          <color indexed="64"/>
        </right>
        <top style="thin">
          <color indexed="64"/>
        </top>
        <bottom style="thin">
          <color indexed="64"/>
        </bottom>
      </border>
    </dxf>
    <dxf>
      <font>
        <condense val="0"/>
        <extend val="0"/>
        <color indexed="26"/>
      </font>
      <fill>
        <patternFill>
          <bgColor indexed="9"/>
        </patternFill>
      </fill>
      <border>
        <left style="hair">
          <color indexed="64"/>
        </left>
        <right style="hair">
          <color indexed="64"/>
        </right>
        <top style="hair">
          <color indexed="64"/>
        </top>
        <bottom style="hair">
          <color indexed="64"/>
        </bottom>
      </border>
    </dxf>
    <dxf>
      <font>
        <condense val="0"/>
        <extend val="0"/>
        <color indexed="23"/>
      </font>
    </dxf>
    <dxf>
      <font>
        <b/>
        <i val="0"/>
        <strike/>
        <condense val="0"/>
        <extend val="0"/>
        <color indexed="10"/>
      </font>
    </dxf>
    <dxf>
      <font>
        <strike val="0"/>
        <condense val="0"/>
        <extend val="0"/>
        <color indexed="10"/>
      </font>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26"/>
      </font>
      <fill>
        <patternFill>
          <bgColor indexed="9"/>
        </patternFill>
      </fill>
      <border>
        <left style="hair">
          <color indexed="64"/>
        </left>
        <right style="hair">
          <color indexed="64"/>
        </right>
        <top style="thin">
          <color indexed="64"/>
        </top>
        <bottom style="hair">
          <color indexed="64"/>
        </bottom>
      </border>
    </dxf>
    <dxf>
      <font>
        <b/>
        <i val="0"/>
        <strike val="0"/>
        <condense val="0"/>
        <extend val="0"/>
        <color indexed="14"/>
      </font>
    </dxf>
    <dxf>
      <font>
        <b/>
        <i val="0"/>
        <strike/>
        <condense val="0"/>
        <extend val="0"/>
        <color indexed="10"/>
      </font>
    </dxf>
    <dxf>
      <font>
        <condense val="0"/>
        <extend val="0"/>
        <color indexed="9"/>
      </font>
      <fill>
        <patternFill>
          <bgColor indexed="9"/>
        </patternFill>
      </fill>
      <border>
        <left style="hair">
          <color indexed="64"/>
        </left>
        <right style="hair">
          <color indexed="64"/>
        </right>
        <top style="thin">
          <color indexed="64"/>
        </top>
        <bottom style="thin">
          <color indexed="64"/>
        </bottom>
      </border>
    </dxf>
    <dxf>
      <font>
        <condense val="0"/>
        <extend val="0"/>
        <color indexed="26"/>
      </font>
      <fill>
        <patternFill>
          <bgColor indexed="9"/>
        </patternFill>
      </fill>
      <border>
        <left style="hair">
          <color indexed="64"/>
        </left>
        <right style="hair">
          <color indexed="64"/>
        </right>
        <top style="thin">
          <color indexed="64"/>
        </top>
        <bottom style="thin">
          <color indexed="64"/>
        </bottom>
      </border>
    </dxf>
    <dxf>
      <font>
        <strike/>
        <condense val="0"/>
        <extend val="0"/>
        <color indexed="10"/>
      </font>
    </dxf>
    <dxf>
      <fill>
        <patternFill patternType="none">
          <bgColor indexed="65"/>
        </patternFill>
      </fill>
      <border>
        <left/>
        <right/>
      </border>
    </dxf>
    <dxf>
      <font>
        <strike/>
        <condense val="0"/>
        <extend val="0"/>
        <color indexed="10"/>
      </font>
    </dxf>
    <dxf>
      <font>
        <strike/>
        <condense val="0"/>
        <extend val="0"/>
        <color indexed="10"/>
      </font>
    </dxf>
    <dxf>
      <font>
        <b/>
        <i/>
        <condense val="0"/>
        <extend val="0"/>
        <color indexed="14"/>
      </font>
    </dxf>
    <dxf>
      <font>
        <strike/>
        <condense val="0"/>
        <extend val="0"/>
        <color indexed="10"/>
      </font>
    </dxf>
    <dxf>
      <font>
        <condense val="0"/>
        <extend val="0"/>
        <color indexed="23"/>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2276475</xdr:colOff>
          <xdr:row>2</xdr:row>
          <xdr:rowOff>9525</xdr:rowOff>
        </xdr:from>
        <xdr:to>
          <xdr:col>1</xdr:col>
          <xdr:colOff>3352800</xdr:colOff>
          <xdr:row>3</xdr:row>
          <xdr:rowOff>133350</xdr:rowOff>
        </xdr:to>
        <xdr:sp macro="" textlink="">
          <xdr:nvSpPr>
            <xdr:cNvPr id="21505" name="Add_zone" hidden="1">
              <a:extLst>
                <a:ext uri="{63B3BB69-23CF-44E3-9099-C40C66FF867C}">
                  <a14:compatExt spid="_x0000_s2150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1562100</xdr:colOff>
          <xdr:row>14</xdr:row>
          <xdr:rowOff>9525</xdr:rowOff>
        </xdr:from>
        <xdr:to>
          <xdr:col>1</xdr:col>
          <xdr:colOff>3362325</xdr:colOff>
          <xdr:row>16</xdr:row>
          <xdr:rowOff>19050</xdr:rowOff>
        </xdr:to>
        <xdr:sp macro="" textlink="">
          <xdr:nvSpPr>
            <xdr:cNvPr id="21506" name="CommandButton2" hidden="1">
              <a:extLst>
                <a:ext uri="{63B3BB69-23CF-44E3-9099-C40C66FF867C}">
                  <a14:compatExt spid="_x0000_s21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24</xdr:row>
          <xdr:rowOff>47625</xdr:rowOff>
        </xdr:from>
        <xdr:to>
          <xdr:col>9</xdr:col>
          <xdr:colOff>552450</xdr:colOff>
          <xdr:row>26</xdr:row>
          <xdr:rowOff>28575</xdr:rowOff>
        </xdr:to>
        <xdr:sp macro="" textlink="">
          <xdr:nvSpPr>
            <xdr:cNvPr id="21507" name="Show_Ez" hidden="1">
              <a:extLst>
                <a:ext uri="{63B3BB69-23CF-44E3-9099-C40C66FF867C}">
                  <a14:compatExt spid="_x0000_s2150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19050</xdr:rowOff>
        </xdr:from>
        <xdr:to>
          <xdr:col>1</xdr:col>
          <xdr:colOff>3352800</xdr:colOff>
          <xdr:row>1</xdr:row>
          <xdr:rowOff>142875</xdr:rowOff>
        </xdr:to>
        <xdr:sp macro="" textlink="">
          <xdr:nvSpPr>
            <xdr:cNvPr id="21508" name="Delete_Zone" hidden="1">
              <a:extLst>
                <a:ext uri="{63B3BB69-23CF-44E3-9099-C40C66FF867C}">
                  <a14:compatExt spid="_x0000_s2150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1276350</xdr:colOff>
          <xdr:row>0</xdr:row>
          <xdr:rowOff>47625</xdr:rowOff>
        </xdr:from>
        <xdr:to>
          <xdr:col>1</xdr:col>
          <xdr:colOff>2200275</xdr:colOff>
          <xdr:row>2</xdr:row>
          <xdr:rowOff>0</xdr:rowOff>
        </xdr:to>
        <xdr:sp macro="" textlink="">
          <xdr:nvSpPr>
            <xdr:cNvPr id="21509" name="Test_Button" hidden="1">
              <a:extLst>
                <a:ext uri="{63B3BB69-23CF-44E3-9099-C40C66FF867C}">
                  <a14:compatExt spid="_x0000_s215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2286000</xdr:colOff>
          <xdr:row>7</xdr:row>
          <xdr:rowOff>0</xdr:rowOff>
        </xdr:from>
        <xdr:to>
          <xdr:col>1</xdr:col>
          <xdr:colOff>2924175</xdr:colOff>
          <xdr:row>8</xdr:row>
          <xdr:rowOff>57150</xdr:rowOff>
        </xdr:to>
        <xdr:sp macro="" textlink="">
          <xdr:nvSpPr>
            <xdr:cNvPr id="21510" name="Button 6" hidden="1">
              <a:extLst>
                <a:ext uri="{63B3BB69-23CF-44E3-9099-C40C66FF867C}">
                  <a14:compatExt spid="_x0000_s215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1704975</xdr:colOff>
          <xdr:row>5</xdr:row>
          <xdr:rowOff>19050</xdr:rowOff>
        </xdr:from>
        <xdr:to>
          <xdr:col>1</xdr:col>
          <xdr:colOff>3067050</xdr:colOff>
          <xdr:row>6</xdr:row>
          <xdr:rowOff>114300</xdr:rowOff>
        </xdr:to>
        <xdr:sp macro="" textlink="">
          <xdr:nvSpPr>
            <xdr:cNvPr id="21511" name="CheckBox1" hidden="1">
              <a:extLst>
                <a:ext uri="{63B3BB69-23CF-44E3-9099-C40C66FF867C}">
                  <a14:compatExt spid="_x0000_s215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Zone%20OA%20C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rections"/>
      <sheetName val="Vot Calculation"/>
      <sheetName val="Table 6-1 Rates"/>
      <sheetName val="LEED Comments-1"/>
      <sheetName val="LEED Comments-2"/>
      <sheetName val="LEED Comments-3"/>
      <sheetName val="LEED Comments-4"/>
    </sheetNames>
    <sheetDataSet>
      <sheetData sheetId="0"/>
      <sheetData sheetId="1"/>
      <sheetData sheetId="2">
        <row r="3">
          <cell r="B3" t="str">
            <v>IP</v>
          </cell>
          <cell r="D3" t="str">
            <v>SI</v>
          </cell>
        </row>
        <row r="5">
          <cell r="A5" t="str">
            <v>Art classroom</v>
          </cell>
          <cell r="B5">
            <v>10</v>
          </cell>
          <cell r="C5">
            <v>0.18</v>
          </cell>
          <cell r="D5">
            <v>5</v>
          </cell>
          <cell r="E5">
            <v>0.9</v>
          </cell>
          <cell r="F5">
            <v>20</v>
          </cell>
        </row>
        <row r="6">
          <cell r="A6" t="str">
            <v>Auditorium seating area</v>
          </cell>
          <cell r="B6">
            <v>5</v>
          </cell>
          <cell r="C6">
            <v>0.06</v>
          </cell>
          <cell r="D6">
            <v>2.5</v>
          </cell>
          <cell r="E6">
            <v>0.3</v>
          </cell>
          <cell r="F6">
            <v>150</v>
          </cell>
        </row>
        <row r="7">
          <cell r="A7" t="str">
            <v>Bank vaults/safe deposit</v>
          </cell>
          <cell r="B7">
            <v>5</v>
          </cell>
          <cell r="C7">
            <v>0.06</v>
          </cell>
          <cell r="D7">
            <v>2.5</v>
          </cell>
          <cell r="E7">
            <v>0.3</v>
          </cell>
          <cell r="F7">
            <v>5</v>
          </cell>
        </row>
        <row r="8">
          <cell r="A8" t="str">
            <v>Banks or bank lobbies</v>
          </cell>
          <cell r="B8">
            <v>7.5</v>
          </cell>
          <cell r="C8">
            <v>0.06</v>
          </cell>
          <cell r="D8">
            <v>3.8</v>
          </cell>
          <cell r="E8">
            <v>0.3</v>
          </cell>
          <cell r="F8">
            <v>15</v>
          </cell>
        </row>
        <row r="9">
          <cell r="A9" t="str">
            <v>Barbershop</v>
          </cell>
          <cell r="B9">
            <v>7.5</v>
          </cell>
          <cell r="C9">
            <v>0.06</v>
          </cell>
          <cell r="D9">
            <v>3.8</v>
          </cell>
          <cell r="E9">
            <v>0.3</v>
          </cell>
          <cell r="F9">
            <v>25</v>
          </cell>
        </row>
        <row r="10">
          <cell r="A10" t="str">
            <v>Barracks sleeping areas</v>
          </cell>
          <cell r="B10">
            <v>5</v>
          </cell>
          <cell r="C10">
            <v>0.06</v>
          </cell>
          <cell r="D10">
            <v>2.5</v>
          </cell>
          <cell r="E10">
            <v>0.3</v>
          </cell>
          <cell r="F10">
            <v>20</v>
          </cell>
        </row>
        <row r="11">
          <cell r="A11" t="str">
            <v>Bars, cocktail lounges</v>
          </cell>
          <cell r="B11">
            <v>7.5</v>
          </cell>
          <cell r="C11">
            <v>0.18</v>
          </cell>
          <cell r="D11">
            <v>3.8</v>
          </cell>
          <cell r="E11">
            <v>0.9</v>
          </cell>
          <cell r="F11">
            <v>100</v>
          </cell>
        </row>
        <row r="12">
          <cell r="A12" t="str">
            <v>Beauty and nail salons</v>
          </cell>
          <cell r="B12">
            <v>20</v>
          </cell>
          <cell r="C12">
            <v>0.12</v>
          </cell>
          <cell r="D12">
            <v>10</v>
          </cell>
          <cell r="E12">
            <v>0.6</v>
          </cell>
          <cell r="F12">
            <v>25</v>
          </cell>
        </row>
        <row r="13">
          <cell r="A13" t="str">
            <v>Bedroom/living room</v>
          </cell>
          <cell r="B13">
            <v>5</v>
          </cell>
          <cell r="C13">
            <v>0.06</v>
          </cell>
          <cell r="D13">
            <v>2.5</v>
          </cell>
          <cell r="E13">
            <v>0.3</v>
          </cell>
          <cell r="F13">
            <v>10</v>
          </cell>
        </row>
        <row r="14">
          <cell r="A14" t="str">
            <v>Booking/waiting</v>
          </cell>
          <cell r="B14">
            <v>7.5</v>
          </cell>
          <cell r="C14">
            <v>0.06</v>
          </cell>
          <cell r="D14">
            <v>3.8</v>
          </cell>
          <cell r="E14">
            <v>0.3</v>
          </cell>
          <cell r="F14">
            <v>50</v>
          </cell>
        </row>
        <row r="15">
          <cell r="A15" t="str">
            <v>Bowling alley (seating)</v>
          </cell>
          <cell r="B15">
            <v>10</v>
          </cell>
          <cell r="C15">
            <v>0.12</v>
          </cell>
          <cell r="D15">
            <v>5</v>
          </cell>
          <cell r="E15">
            <v>0.6</v>
          </cell>
          <cell r="F15">
            <v>40</v>
          </cell>
        </row>
        <row r="16">
          <cell r="A16" t="str">
            <v>Break rooms</v>
          </cell>
          <cell r="B16">
            <v>5</v>
          </cell>
          <cell r="C16">
            <v>0.12</v>
          </cell>
          <cell r="D16">
            <v>2.5</v>
          </cell>
          <cell r="E16">
            <v>0.6</v>
          </cell>
          <cell r="F16">
            <v>50</v>
          </cell>
        </row>
        <row r="17">
          <cell r="A17" t="str">
            <v>Cafeteria/fast-food dining</v>
          </cell>
          <cell r="B17">
            <v>7.5</v>
          </cell>
          <cell r="C17">
            <v>0.18</v>
          </cell>
          <cell r="D17">
            <v>3.8</v>
          </cell>
          <cell r="E17">
            <v>0.9</v>
          </cell>
          <cell r="F17">
            <v>100</v>
          </cell>
        </row>
        <row r="18">
          <cell r="A18" t="str">
            <v>Cell</v>
          </cell>
          <cell r="B18">
            <v>5</v>
          </cell>
          <cell r="C18">
            <v>0.12</v>
          </cell>
          <cell r="D18">
            <v>2.5</v>
          </cell>
          <cell r="E18">
            <v>0.6</v>
          </cell>
          <cell r="F18">
            <v>25</v>
          </cell>
        </row>
        <row r="19">
          <cell r="A19" t="str">
            <v>Classrooms (age 9 plus)</v>
          </cell>
          <cell r="B19">
            <v>10</v>
          </cell>
          <cell r="C19">
            <v>0.12</v>
          </cell>
          <cell r="D19">
            <v>5</v>
          </cell>
          <cell r="E19">
            <v>0.6</v>
          </cell>
          <cell r="F19">
            <v>35</v>
          </cell>
        </row>
        <row r="20">
          <cell r="A20" t="str">
            <v>Classrooms (ages 5–8)</v>
          </cell>
          <cell r="B20">
            <v>10</v>
          </cell>
          <cell r="C20">
            <v>0.12</v>
          </cell>
          <cell r="D20">
            <v>5</v>
          </cell>
          <cell r="E20">
            <v>0.6</v>
          </cell>
          <cell r="F20">
            <v>25</v>
          </cell>
        </row>
        <row r="21">
          <cell r="A21" t="str">
            <v>Coffee stations</v>
          </cell>
          <cell r="B21">
            <v>5</v>
          </cell>
          <cell r="C21">
            <v>0.06</v>
          </cell>
          <cell r="D21">
            <v>2.5</v>
          </cell>
          <cell r="E21">
            <v>0.3</v>
          </cell>
          <cell r="F21">
            <v>20</v>
          </cell>
        </row>
        <row r="22">
          <cell r="A22" t="str">
            <v>Coin-operated laundries</v>
          </cell>
          <cell r="B22">
            <v>7.5</v>
          </cell>
          <cell r="C22">
            <v>0.12</v>
          </cell>
          <cell r="D22">
            <v>3.8</v>
          </cell>
          <cell r="E22">
            <v>0.6</v>
          </cell>
          <cell r="F22">
            <v>20</v>
          </cell>
        </row>
        <row r="23">
          <cell r="A23" t="str">
            <v>Common corridors</v>
          </cell>
          <cell r="B23">
            <v>0</v>
          </cell>
          <cell r="C23">
            <v>0.06</v>
          </cell>
          <cell r="D23">
            <v>0</v>
          </cell>
          <cell r="E23">
            <v>0.3</v>
          </cell>
          <cell r="F23"/>
        </row>
        <row r="24">
          <cell r="A24" t="str">
            <v>Computer (not printing)</v>
          </cell>
          <cell r="B24">
            <v>5</v>
          </cell>
          <cell r="C24">
            <v>0.06</v>
          </cell>
          <cell r="D24">
            <v>2.5</v>
          </cell>
          <cell r="E24">
            <v>0.3</v>
          </cell>
          <cell r="F24">
            <v>4</v>
          </cell>
        </row>
        <row r="25">
          <cell r="A25" t="str">
            <v>Computer lab</v>
          </cell>
          <cell r="B25">
            <v>10</v>
          </cell>
          <cell r="C25">
            <v>0.12</v>
          </cell>
          <cell r="D25">
            <v>5</v>
          </cell>
          <cell r="E25">
            <v>0.6</v>
          </cell>
          <cell r="F25">
            <v>25</v>
          </cell>
        </row>
        <row r="26">
          <cell r="A26" t="str">
            <v>Conference/meeting</v>
          </cell>
          <cell r="B26">
            <v>5</v>
          </cell>
          <cell r="C26">
            <v>0.06</v>
          </cell>
          <cell r="D26">
            <v>2.5</v>
          </cell>
          <cell r="E26">
            <v>0.3</v>
          </cell>
          <cell r="F26">
            <v>50</v>
          </cell>
        </row>
        <row r="27">
          <cell r="A27" t="str">
            <v>Corridors</v>
          </cell>
          <cell r="B27">
            <v>0</v>
          </cell>
          <cell r="C27">
            <v>0.06</v>
          </cell>
          <cell r="D27">
            <v>0</v>
          </cell>
          <cell r="E27">
            <v>0.3</v>
          </cell>
          <cell r="F27">
            <v>0</v>
          </cell>
        </row>
        <row r="28">
          <cell r="A28" t="str">
            <v>Courtrooms</v>
          </cell>
          <cell r="B28">
            <v>5</v>
          </cell>
          <cell r="C28">
            <v>0.06</v>
          </cell>
          <cell r="D28">
            <v>2.5</v>
          </cell>
          <cell r="E28">
            <v>0.3</v>
          </cell>
          <cell r="F28">
            <v>70</v>
          </cell>
        </row>
        <row r="29">
          <cell r="A29" t="str">
            <v>Daycare (through age 4)</v>
          </cell>
          <cell r="B29">
            <v>10</v>
          </cell>
          <cell r="C29">
            <v>0.18</v>
          </cell>
          <cell r="D29">
            <v>5</v>
          </cell>
          <cell r="E29">
            <v>0.9</v>
          </cell>
          <cell r="F29">
            <v>25</v>
          </cell>
        </row>
        <row r="30">
          <cell r="A30" t="str">
            <v>Daycare sickroom</v>
          </cell>
          <cell r="B30">
            <v>10</v>
          </cell>
          <cell r="C30">
            <v>0.18</v>
          </cell>
          <cell r="D30">
            <v>5</v>
          </cell>
          <cell r="E30">
            <v>0.9</v>
          </cell>
          <cell r="F30">
            <v>25</v>
          </cell>
        </row>
        <row r="31">
          <cell r="A31" t="str">
            <v>Dayroom</v>
          </cell>
          <cell r="B31">
            <v>5</v>
          </cell>
          <cell r="C31">
            <v>0.06</v>
          </cell>
          <cell r="D31">
            <v>2.5</v>
          </cell>
          <cell r="E31">
            <v>0.3</v>
          </cell>
          <cell r="F31">
            <v>30</v>
          </cell>
        </row>
        <row r="32">
          <cell r="A32" t="str">
            <v>Disco/dance floors</v>
          </cell>
          <cell r="B32">
            <v>20</v>
          </cell>
          <cell r="C32">
            <v>0.06</v>
          </cell>
          <cell r="D32">
            <v>10</v>
          </cell>
          <cell r="E32">
            <v>0.3</v>
          </cell>
          <cell r="F32">
            <v>100</v>
          </cell>
        </row>
        <row r="33">
          <cell r="A33" t="str">
            <v>Dwelling unit</v>
          </cell>
          <cell r="B33">
            <v>5</v>
          </cell>
          <cell r="C33">
            <v>0.06</v>
          </cell>
          <cell r="D33">
            <v>2.5</v>
          </cell>
          <cell r="E33">
            <v>0.3</v>
          </cell>
          <cell r="F33">
            <v>2</v>
          </cell>
        </row>
        <row r="34">
          <cell r="A34" t="str">
            <v>Electrical equipment rooms</v>
          </cell>
          <cell r="B34">
            <v>0</v>
          </cell>
          <cell r="C34">
            <v>0.06</v>
          </cell>
          <cell r="D34">
            <v>0</v>
          </cell>
          <cell r="E34">
            <v>0.3</v>
          </cell>
          <cell r="F34">
            <v>0</v>
          </cell>
        </row>
        <row r="35">
          <cell r="A35" t="str">
            <v>Elevator machine rooms</v>
          </cell>
          <cell r="B35">
            <v>0</v>
          </cell>
          <cell r="C35">
            <v>0.12</v>
          </cell>
          <cell r="D35">
            <v>0</v>
          </cell>
          <cell r="E35">
            <v>0.6</v>
          </cell>
          <cell r="F35">
            <v>0</v>
          </cell>
        </row>
        <row r="36">
          <cell r="A36" t="str">
            <v>Gambling casinos</v>
          </cell>
          <cell r="B36">
            <v>7.5</v>
          </cell>
          <cell r="C36">
            <v>0.18</v>
          </cell>
          <cell r="D36">
            <v>3.8</v>
          </cell>
          <cell r="E36">
            <v>0.9</v>
          </cell>
          <cell r="F36">
            <v>120</v>
          </cell>
        </row>
        <row r="37">
          <cell r="A37" t="str">
            <v>Game arcades</v>
          </cell>
          <cell r="B37">
            <v>7.5</v>
          </cell>
          <cell r="C37">
            <v>0.18</v>
          </cell>
          <cell r="D37">
            <v>3.8</v>
          </cell>
          <cell r="E37">
            <v>0.9</v>
          </cell>
          <cell r="F37">
            <v>20</v>
          </cell>
        </row>
        <row r="38">
          <cell r="A38" t="str">
            <v>General manufacturing (excludes heavy industrial and processes using chemicals)</v>
          </cell>
          <cell r="B38">
            <v>10</v>
          </cell>
          <cell r="C38">
            <v>0.18</v>
          </cell>
          <cell r="D38">
            <v>5</v>
          </cell>
          <cell r="E38">
            <v>0.9</v>
          </cell>
          <cell r="F38">
            <v>7</v>
          </cell>
        </row>
        <row r="39">
          <cell r="A39" t="str">
            <v>Guard stations</v>
          </cell>
          <cell r="B39">
            <v>5</v>
          </cell>
          <cell r="C39">
            <v>0.06</v>
          </cell>
          <cell r="D39">
            <v>2.5</v>
          </cell>
          <cell r="E39">
            <v>0.3</v>
          </cell>
          <cell r="F39">
            <v>15</v>
          </cell>
        </row>
        <row r="40">
          <cell r="A40" t="str">
            <v>Gym, stadium (play area)</v>
          </cell>
          <cell r="B40">
            <v>0</v>
          </cell>
          <cell r="C40">
            <v>0.3</v>
          </cell>
          <cell r="D40">
            <v>0</v>
          </cell>
          <cell r="E40">
            <v>1.5</v>
          </cell>
          <cell r="F40">
            <v>30</v>
          </cell>
        </row>
        <row r="41">
          <cell r="A41" t="str">
            <v>Health club/aerobics room</v>
          </cell>
          <cell r="B41">
            <v>20</v>
          </cell>
          <cell r="C41">
            <v>0.06</v>
          </cell>
          <cell r="D41">
            <v>10</v>
          </cell>
          <cell r="E41">
            <v>0.3</v>
          </cell>
          <cell r="F41">
            <v>40</v>
          </cell>
        </row>
        <row r="42">
          <cell r="A42" t="str">
            <v>Health club/weight rooms</v>
          </cell>
          <cell r="B42">
            <v>20</v>
          </cell>
          <cell r="C42">
            <v>0.06</v>
          </cell>
          <cell r="D42">
            <v>10</v>
          </cell>
          <cell r="E42">
            <v>0.3</v>
          </cell>
          <cell r="F42">
            <v>10</v>
          </cell>
        </row>
        <row r="43">
          <cell r="A43" t="str">
            <v>Kitchen (cooking)</v>
          </cell>
          <cell r="B43">
            <v>7.5</v>
          </cell>
          <cell r="C43">
            <v>0.12</v>
          </cell>
          <cell r="D43">
            <v>3.8</v>
          </cell>
          <cell r="E43">
            <v>0.6</v>
          </cell>
          <cell r="F43">
            <v>20</v>
          </cell>
        </row>
        <row r="44">
          <cell r="A44" t="str">
            <v>Laundry rooms within dwelling units</v>
          </cell>
          <cell r="B44">
            <v>5</v>
          </cell>
          <cell r="C44">
            <v>0.12</v>
          </cell>
          <cell r="D44">
            <v>2.5</v>
          </cell>
          <cell r="E44">
            <v>0.6</v>
          </cell>
          <cell r="F44">
            <v>10</v>
          </cell>
        </row>
        <row r="45">
          <cell r="A45" t="str">
            <v>Laundry rooms, central</v>
          </cell>
          <cell r="B45">
            <v>5</v>
          </cell>
          <cell r="C45">
            <v>0.12</v>
          </cell>
          <cell r="D45">
            <v>2.5</v>
          </cell>
          <cell r="E45">
            <v>0.6</v>
          </cell>
          <cell r="F45">
            <v>10</v>
          </cell>
        </row>
        <row r="46">
          <cell r="A46" t="str">
            <v>Lecture classroom</v>
          </cell>
          <cell r="B46">
            <v>7.5</v>
          </cell>
          <cell r="C46">
            <v>0.06</v>
          </cell>
          <cell r="D46">
            <v>3.8</v>
          </cell>
          <cell r="E46">
            <v>0.3</v>
          </cell>
          <cell r="F46">
            <v>65</v>
          </cell>
        </row>
        <row r="47">
          <cell r="A47" t="str">
            <v>Lecture hall (fixed seats)</v>
          </cell>
          <cell r="B47">
            <v>7.5</v>
          </cell>
          <cell r="C47">
            <v>0.06</v>
          </cell>
          <cell r="D47">
            <v>3.8</v>
          </cell>
          <cell r="E47">
            <v>0.3</v>
          </cell>
          <cell r="F47">
            <v>150</v>
          </cell>
        </row>
        <row r="48">
          <cell r="A48" t="str">
            <v>Legislative chambers</v>
          </cell>
          <cell r="B48">
            <v>5</v>
          </cell>
          <cell r="C48">
            <v>0.06</v>
          </cell>
          <cell r="D48">
            <v>2.5</v>
          </cell>
          <cell r="E48">
            <v>0.3</v>
          </cell>
          <cell r="F48">
            <v>50</v>
          </cell>
        </row>
        <row r="49">
          <cell r="A49" t="str">
            <v>Libraries</v>
          </cell>
          <cell r="B49">
            <v>5</v>
          </cell>
          <cell r="C49">
            <v>0.12</v>
          </cell>
          <cell r="D49">
            <v>2.5</v>
          </cell>
          <cell r="E49">
            <v>0.6</v>
          </cell>
          <cell r="F49">
            <v>10</v>
          </cell>
        </row>
        <row r="50">
          <cell r="A50" t="str">
            <v>Lobbies</v>
          </cell>
          <cell r="B50">
            <v>5</v>
          </cell>
          <cell r="C50">
            <v>0.06</v>
          </cell>
          <cell r="D50">
            <v>2.5</v>
          </cell>
          <cell r="E50">
            <v>0.3</v>
          </cell>
          <cell r="F50">
            <v>150</v>
          </cell>
        </row>
        <row r="51">
          <cell r="A51" t="str">
            <v>Lobbies/prefunction</v>
          </cell>
          <cell r="B51">
            <v>7.5</v>
          </cell>
          <cell r="C51">
            <v>0.06</v>
          </cell>
          <cell r="D51">
            <v>3.8</v>
          </cell>
          <cell r="E51">
            <v>0.3</v>
          </cell>
          <cell r="F51">
            <v>30</v>
          </cell>
        </row>
        <row r="52">
          <cell r="A52" t="str">
            <v>Main entry lobbies</v>
          </cell>
          <cell r="B52">
            <v>5</v>
          </cell>
          <cell r="C52">
            <v>0.06</v>
          </cell>
          <cell r="D52">
            <v>2.5</v>
          </cell>
          <cell r="E52">
            <v>0.3</v>
          </cell>
          <cell r="F52">
            <v>10</v>
          </cell>
        </row>
        <row r="53">
          <cell r="A53" t="str">
            <v>Mall common areas</v>
          </cell>
          <cell r="B53">
            <v>7.5</v>
          </cell>
          <cell r="C53">
            <v>0.06</v>
          </cell>
          <cell r="D53">
            <v>3.8</v>
          </cell>
          <cell r="E53">
            <v>0.3</v>
          </cell>
          <cell r="F53">
            <v>40</v>
          </cell>
        </row>
        <row r="54">
          <cell r="A54" t="str">
            <v>Media center</v>
          </cell>
          <cell r="B54">
            <v>10</v>
          </cell>
          <cell r="C54">
            <v>0.12</v>
          </cell>
          <cell r="D54">
            <v>5</v>
          </cell>
          <cell r="E54">
            <v>0.6</v>
          </cell>
          <cell r="F54">
            <v>25</v>
          </cell>
        </row>
        <row r="55">
          <cell r="A55" t="str">
            <v>Multipurpose assembly</v>
          </cell>
          <cell r="B55">
            <v>5</v>
          </cell>
          <cell r="C55">
            <v>0.06</v>
          </cell>
          <cell r="D55">
            <v>2.5</v>
          </cell>
          <cell r="E55">
            <v>0.3</v>
          </cell>
          <cell r="F55">
            <v>120</v>
          </cell>
        </row>
        <row r="56">
          <cell r="A56" t="str">
            <v>Multi-use assembly</v>
          </cell>
          <cell r="B56">
            <v>7.5</v>
          </cell>
          <cell r="C56">
            <v>0.06</v>
          </cell>
          <cell r="D56">
            <v>3.8</v>
          </cell>
          <cell r="E56">
            <v>0.3</v>
          </cell>
          <cell r="F56">
            <v>100</v>
          </cell>
        </row>
        <row r="57">
          <cell r="A57" t="str">
            <v>Museums (children’s)</v>
          </cell>
          <cell r="B57">
            <v>7.5</v>
          </cell>
          <cell r="C57">
            <v>0.12</v>
          </cell>
          <cell r="D57">
            <v>3.8</v>
          </cell>
          <cell r="E57">
            <v>0.6</v>
          </cell>
          <cell r="F57">
            <v>40</v>
          </cell>
        </row>
        <row r="58">
          <cell r="A58" t="str">
            <v>Museums/galleries</v>
          </cell>
          <cell r="B58">
            <v>7.5</v>
          </cell>
          <cell r="C58">
            <v>0.06</v>
          </cell>
          <cell r="D58">
            <v>3.8</v>
          </cell>
          <cell r="E58">
            <v>0.3</v>
          </cell>
          <cell r="F58">
            <v>40</v>
          </cell>
        </row>
        <row r="59">
          <cell r="A59" t="str">
            <v>Music/theater/dance</v>
          </cell>
          <cell r="B59">
            <v>10</v>
          </cell>
          <cell r="C59">
            <v>0.06</v>
          </cell>
          <cell r="D59">
            <v>5</v>
          </cell>
          <cell r="E59">
            <v>0.3</v>
          </cell>
          <cell r="F59">
            <v>35</v>
          </cell>
        </row>
        <row r="60">
          <cell r="A60" t="str">
            <v>Occupiable storage rooms for liquids or gels</v>
          </cell>
          <cell r="B60">
            <v>5</v>
          </cell>
          <cell r="C60">
            <v>0.12</v>
          </cell>
          <cell r="D60">
            <v>2.5</v>
          </cell>
          <cell r="E60">
            <v>0.6</v>
          </cell>
          <cell r="F60">
            <v>2</v>
          </cell>
        </row>
        <row r="61">
          <cell r="A61" t="str">
            <v>Occupiable storage rooms for dry materials</v>
          </cell>
          <cell r="B61">
            <v>5</v>
          </cell>
          <cell r="C61">
            <v>0.06</v>
          </cell>
          <cell r="D61">
            <v>2.5</v>
          </cell>
          <cell r="E61">
            <v>0.3</v>
          </cell>
          <cell r="F61">
            <v>2</v>
          </cell>
        </row>
        <row r="62">
          <cell r="A62" t="str">
            <v>Office space</v>
          </cell>
          <cell r="B62">
            <v>5</v>
          </cell>
          <cell r="C62">
            <v>0.06</v>
          </cell>
          <cell r="D62">
            <v>2.5</v>
          </cell>
          <cell r="E62">
            <v>0.3</v>
          </cell>
          <cell r="F62">
            <v>5</v>
          </cell>
        </row>
        <row r="63">
          <cell r="A63" t="str">
            <v>Pet shops (animal areas)</v>
          </cell>
          <cell r="B63">
            <v>7.5</v>
          </cell>
          <cell r="C63">
            <v>0.18</v>
          </cell>
          <cell r="D63">
            <v>3.8</v>
          </cell>
          <cell r="E63">
            <v>0.9</v>
          </cell>
          <cell r="F63">
            <v>10</v>
          </cell>
        </row>
        <row r="64">
          <cell r="A64" t="str">
            <v>Pharmacy (prep. area)</v>
          </cell>
          <cell r="B64">
            <v>5</v>
          </cell>
          <cell r="C64">
            <v>0.18</v>
          </cell>
          <cell r="D64">
            <v>2.5</v>
          </cell>
          <cell r="E64">
            <v>0.9</v>
          </cell>
          <cell r="F64">
            <v>10</v>
          </cell>
        </row>
        <row r="65">
          <cell r="A65" t="str">
            <v>Photo studios</v>
          </cell>
          <cell r="B65">
            <v>5</v>
          </cell>
          <cell r="C65">
            <v>0.12</v>
          </cell>
          <cell r="D65">
            <v>2.5</v>
          </cell>
          <cell r="E65">
            <v>0.6</v>
          </cell>
          <cell r="F65">
            <v>10</v>
          </cell>
        </row>
        <row r="66">
          <cell r="A66" t="str">
            <v>Places of religious worship</v>
          </cell>
          <cell r="B66">
            <v>5</v>
          </cell>
          <cell r="C66">
            <v>0.06</v>
          </cell>
          <cell r="D66">
            <v>2.5</v>
          </cell>
          <cell r="E66">
            <v>0.3</v>
          </cell>
          <cell r="F66">
            <v>120</v>
          </cell>
        </row>
        <row r="67">
          <cell r="A67" t="str">
            <v>Reception areas</v>
          </cell>
          <cell r="B67">
            <v>5</v>
          </cell>
          <cell r="C67">
            <v>0.06</v>
          </cell>
          <cell r="D67">
            <v>2.5</v>
          </cell>
          <cell r="E67">
            <v>0.3</v>
          </cell>
          <cell r="F67">
            <v>30</v>
          </cell>
        </row>
        <row r="68">
          <cell r="A68" t="str">
            <v>Restaurant dining rooms</v>
          </cell>
          <cell r="B68">
            <v>7.5</v>
          </cell>
          <cell r="C68">
            <v>0.18</v>
          </cell>
          <cell r="D68">
            <v>3.8</v>
          </cell>
          <cell r="E68">
            <v>0.9</v>
          </cell>
          <cell r="F68">
            <v>70</v>
          </cell>
        </row>
        <row r="69">
          <cell r="A69" t="str">
            <v>Sales (except as below)</v>
          </cell>
          <cell r="B69">
            <v>7.5</v>
          </cell>
          <cell r="C69">
            <v>0.12</v>
          </cell>
          <cell r="D69">
            <v>3.8</v>
          </cell>
          <cell r="E69">
            <v>0.6</v>
          </cell>
          <cell r="F69">
            <v>15</v>
          </cell>
        </row>
        <row r="70">
          <cell r="A70" t="str">
            <v>Science laboratories</v>
          </cell>
          <cell r="B70">
            <v>10</v>
          </cell>
          <cell r="C70">
            <v>0.18</v>
          </cell>
          <cell r="D70">
            <v>5</v>
          </cell>
          <cell r="E70">
            <v>0.9</v>
          </cell>
          <cell r="F70">
            <v>25</v>
          </cell>
        </row>
        <row r="71">
          <cell r="A71" t="str">
            <v>Shipping/receiving</v>
          </cell>
          <cell r="B71">
            <v>10</v>
          </cell>
          <cell r="C71">
            <v>0.12</v>
          </cell>
          <cell r="D71">
            <v>5</v>
          </cell>
          <cell r="E71">
            <v>0.6</v>
          </cell>
          <cell r="F71">
            <v>2</v>
          </cell>
        </row>
        <row r="72">
          <cell r="A72" t="str">
            <v>Sorting, packing, light assembly</v>
          </cell>
          <cell r="B72">
            <v>7.5</v>
          </cell>
          <cell r="C72">
            <v>0.12</v>
          </cell>
          <cell r="D72">
            <v>3.8</v>
          </cell>
          <cell r="E72">
            <v>0.6</v>
          </cell>
          <cell r="F72">
            <v>7</v>
          </cell>
        </row>
        <row r="73">
          <cell r="A73" t="str">
            <v>Spectator areas</v>
          </cell>
          <cell r="B73">
            <v>7.5</v>
          </cell>
          <cell r="C73">
            <v>0.06</v>
          </cell>
          <cell r="D73">
            <v>3.8</v>
          </cell>
          <cell r="E73">
            <v>0.3</v>
          </cell>
          <cell r="F73">
            <v>150</v>
          </cell>
        </row>
        <row r="74">
          <cell r="A74" t="str">
            <v>Sports arena (play area)</v>
          </cell>
          <cell r="B74">
            <v>0</v>
          </cell>
          <cell r="C74">
            <v>0.3</v>
          </cell>
          <cell r="D74">
            <v>0</v>
          </cell>
          <cell r="E74">
            <v>1.5</v>
          </cell>
          <cell r="F74">
            <v>0</v>
          </cell>
        </row>
        <row r="75">
          <cell r="A75" t="str">
            <v>Stages, studios</v>
          </cell>
          <cell r="B75">
            <v>10</v>
          </cell>
          <cell r="C75">
            <v>0.06</v>
          </cell>
          <cell r="D75">
            <v>5</v>
          </cell>
          <cell r="E75">
            <v>0.3</v>
          </cell>
          <cell r="F75">
            <v>70</v>
          </cell>
        </row>
        <row r="76">
          <cell r="A76" t="str">
            <v>Storage rooms</v>
          </cell>
          <cell r="B76">
            <v>0</v>
          </cell>
          <cell r="C76">
            <v>0.12</v>
          </cell>
          <cell r="D76">
            <v>0</v>
          </cell>
          <cell r="E76">
            <v>0.6</v>
          </cell>
          <cell r="F76">
            <v>0</v>
          </cell>
        </row>
        <row r="77">
          <cell r="A77" t="str">
            <v>Supermarket</v>
          </cell>
          <cell r="B77">
            <v>7.5</v>
          </cell>
          <cell r="C77">
            <v>0.06</v>
          </cell>
          <cell r="D77">
            <v>3.8</v>
          </cell>
          <cell r="E77">
            <v>0.3</v>
          </cell>
          <cell r="F77">
            <v>8</v>
          </cell>
        </row>
        <row r="78">
          <cell r="A78" t="str">
            <v>Swimming (pool &amp; deck)</v>
          </cell>
          <cell r="B78">
            <v>0</v>
          </cell>
          <cell r="C78">
            <v>0.48</v>
          </cell>
          <cell r="D78">
            <v>0</v>
          </cell>
          <cell r="E78">
            <v>2.4</v>
          </cell>
          <cell r="F78">
            <v>0</v>
          </cell>
        </row>
        <row r="79">
          <cell r="A79" t="str">
            <v>Telephone closets</v>
          </cell>
          <cell r="B79">
            <v>0</v>
          </cell>
          <cell r="C79">
            <v>0</v>
          </cell>
          <cell r="D79">
            <v>0</v>
          </cell>
          <cell r="E79">
            <v>0</v>
          </cell>
          <cell r="F79">
            <v>0</v>
          </cell>
        </row>
        <row r="80">
          <cell r="A80" t="str">
            <v>Telephone/data entry</v>
          </cell>
          <cell r="B80">
            <v>5</v>
          </cell>
          <cell r="C80">
            <v>0.06</v>
          </cell>
          <cell r="D80">
            <v>2.5</v>
          </cell>
          <cell r="E80">
            <v>0.3</v>
          </cell>
          <cell r="F80">
            <v>60</v>
          </cell>
        </row>
        <row r="81">
          <cell r="A81" t="str">
            <v>Transportation waiting</v>
          </cell>
          <cell r="B81">
            <v>7.5</v>
          </cell>
          <cell r="C81">
            <v>0.06</v>
          </cell>
          <cell r="D81">
            <v>3.8</v>
          </cell>
          <cell r="E81">
            <v>0.3</v>
          </cell>
          <cell r="F81">
            <v>100</v>
          </cell>
        </row>
        <row r="82">
          <cell r="A82" t="str">
            <v>University/college laboratories</v>
          </cell>
          <cell r="B82">
            <v>10</v>
          </cell>
          <cell r="C82">
            <v>0.18</v>
          </cell>
          <cell r="D82">
            <v>5</v>
          </cell>
          <cell r="E82">
            <v>0.9</v>
          </cell>
          <cell r="F82">
            <v>25</v>
          </cell>
        </row>
        <row r="83">
          <cell r="A83" t="str">
            <v>Warehouses</v>
          </cell>
          <cell r="B83">
            <v>10</v>
          </cell>
          <cell r="C83">
            <v>0.06</v>
          </cell>
          <cell r="D83">
            <v>5</v>
          </cell>
          <cell r="E83">
            <v>0.3</v>
          </cell>
          <cell r="F83">
            <v>0</v>
          </cell>
        </row>
        <row r="84">
          <cell r="A84" t="str">
            <v>Wood/metal shop</v>
          </cell>
          <cell r="B84">
            <v>10</v>
          </cell>
          <cell r="C84">
            <v>0.18</v>
          </cell>
          <cell r="D84">
            <v>5</v>
          </cell>
          <cell r="E84">
            <v>0.9</v>
          </cell>
          <cell r="F84">
            <v>20</v>
          </cell>
        </row>
        <row r="85">
          <cell r="A85"/>
          <cell r="B85"/>
          <cell r="C85"/>
          <cell r="D85"/>
          <cell r="E85"/>
          <cell r="F85"/>
        </row>
        <row r="86">
          <cell r="A86"/>
          <cell r="B86"/>
          <cell r="C86"/>
          <cell r="D86"/>
          <cell r="E86"/>
          <cell r="F86"/>
        </row>
        <row r="87">
          <cell r="A87"/>
          <cell r="B87"/>
          <cell r="C87"/>
          <cell r="D87"/>
          <cell r="E87"/>
          <cell r="F87"/>
        </row>
        <row r="88">
          <cell r="A88"/>
          <cell r="B88"/>
          <cell r="C88"/>
          <cell r="D88"/>
          <cell r="E88"/>
          <cell r="F88"/>
        </row>
        <row r="89">
          <cell r="A89"/>
          <cell r="B89"/>
          <cell r="C89"/>
          <cell r="D89"/>
          <cell r="E89"/>
          <cell r="F89"/>
        </row>
        <row r="90">
          <cell r="A90"/>
          <cell r="B90"/>
          <cell r="C90"/>
          <cell r="D90"/>
          <cell r="E90"/>
          <cell r="F90"/>
        </row>
        <row r="91">
          <cell r="A91"/>
          <cell r="B91"/>
          <cell r="C91"/>
          <cell r="D91"/>
          <cell r="E91"/>
          <cell r="F91"/>
        </row>
        <row r="92">
          <cell r="A92"/>
          <cell r="B92"/>
          <cell r="C92"/>
          <cell r="D92"/>
          <cell r="E92"/>
          <cell r="F92"/>
        </row>
        <row r="93">
          <cell r="A93"/>
          <cell r="B93"/>
          <cell r="C93"/>
          <cell r="D93"/>
          <cell r="E93"/>
          <cell r="F93"/>
        </row>
        <row r="94">
          <cell r="A94"/>
          <cell r="B94"/>
          <cell r="C94"/>
          <cell r="D94"/>
          <cell r="E94"/>
          <cell r="F94"/>
        </row>
      </sheetData>
      <sheetData sheetId="3"/>
      <sheetData sheetId="4"/>
      <sheetData sheetId="5"/>
      <sheetData sheetId="6"/>
    </sheetDataSet>
  </externalBook>
</externalLink>
</file>

<file path=xl/queryTables/queryTable1.xml><?xml version="1.0" encoding="utf-8"?>
<queryTable xmlns="http://schemas.openxmlformats.org/spreadsheetml/2006/main" name="CSISD ES#10 Load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trlProp" Target="../ctrlProps/ctrlProp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D166"/>
  <sheetViews>
    <sheetView workbookViewId="0">
      <selection activeCell="E122" sqref="E122"/>
    </sheetView>
  </sheetViews>
  <sheetFormatPr defaultRowHeight="12.75"/>
  <cols>
    <col min="1" max="1" width="15" bestFit="1" customWidth="1"/>
    <col min="2" max="2" width="16.42578125" bestFit="1" customWidth="1"/>
    <col min="3" max="3" width="11.28515625" bestFit="1" customWidth="1"/>
    <col min="4" max="4" width="14.85546875" bestFit="1" customWidth="1"/>
    <col min="5" max="5" width="17.42578125" bestFit="1" customWidth="1"/>
    <col min="6" max="6" width="15.7109375" bestFit="1" customWidth="1"/>
    <col min="7" max="7" width="12.85546875" bestFit="1" customWidth="1"/>
    <col min="8" max="8" width="20.28515625" bestFit="1" customWidth="1"/>
    <col min="9" max="9" width="12" bestFit="1" customWidth="1"/>
    <col min="10" max="10" width="11.5703125" bestFit="1" customWidth="1"/>
    <col min="11" max="11" width="11" bestFit="1" customWidth="1"/>
    <col min="12" max="12" width="9.7109375" bestFit="1" customWidth="1"/>
    <col min="13" max="13" width="31.42578125" bestFit="1" customWidth="1"/>
    <col min="14" max="14" width="14.42578125" bestFit="1" customWidth="1"/>
    <col min="15" max="15" width="23.5703125" bestFit="1" customWidth="1"/>
    <col min="16" max="16" width="19" bestFit="1" customWidth="1"/>
    <col min="17" max="17" width="11.5703125" bestFit="1" customWidth="1"/>
    <col min="18" max="18" width="11.140625" bestFit="1" customWidth="1"/>
    <col min="19" max="19" width="14.42578125" bestFit="1" customWidth="1"/>
    <col min="20" max="20" width="19.7109375" bestFit="1" customWidth="1"/>
    <col min="21" max="21" width="19" bestFit="1" customWidth="1"/>
    <col min="22" max="22" width="38" bestFit="1" customWidth="1"/>
    <col min="23" max="23" width="7.5703125" customWidth="1"/>
    <col min="24" max="24" width="7.28515625" customWidth="1"/>
    <col min="25" max="25" width="29.85546875" bestFit="1" customWidth="1"/>
    <col min="26" max="26" width="30.42578125" bestFit="1" customWidth="1"/>
    <col min="27" max="27" width="29.28515625" bestFit="1" customWidth="1"/>
    <col min="28" max="28" width="30" bestFit="1" customWidth="1"/>
    <col min="29" max="29" width="21.7109375" bestFit="1" customWidth="1"/>
    <col min="30" max="30" width="29.28515625" bestFit="1" customWidth="1"/>
    <col min="31" max="31" width="17.28515625" bestFit="1" customWidth="1"/>
    <col min="32" max="32" width="21.7109375" bestFit="1" customWidth="1"/>
    <col min="33" max="33" width="29" bestFit="1" customWidth="1"/>
    <col min="34" max="34" width="22.28515625" bestFit="1" customWidth="1"/>
    <col min="35" max="35" width="20" bestFit="1" customWidth="1"/>
    <col min="36" max="36" width="7" bestFit="1" customWidth="1"/>
    <col min="37" max="37" width="8" bestFit="1" customWidth="1"/>
    <col min="38" max="38" width="12.5703125" bestFit="1" customWidth="1"/>
    <col min="39" max="39" width="10.5703125" bestFit="1" customWidth="1"/>
    <col min="40" max="40" width="9" customWidth="1"/>
    <col min="41" max="41" width="12.7109375" bestFit="1" customWidth="1"/>
    <col min="42" max="42" width="9" customWidth="1"/>
    <col min="43" max="43" width="12.85546875" bestFit="1" customWidth="1"/>
    <col min="44" max="44" width="12.7109375" bestFit="1" customWidth="1"/>
    <col min="45" max="45" width="19.7109375" customWidth="1"/>
    <col min="46" max="46" width="19.85546875" bestFit="1" customWidth="1"/>
    <col min="47" max="47" width="10.7109375" bestFit="1" customWidth="1"/>
    <col min="48" max="48" width="10.28515625" bestFit="1" customWidth="1"/>
    <col min="49" max="49" width="10.7109375" bestFit="1" customWidth="1"/>
    <col min="50" max="50" width="12.85546875" bestFit="1" customWidth="1"/>
    <col min="51" max="51" width="17.42578125" bestFit="1" customWidth="1"/>
    <col min="52" max="52" width="14.5703125" bestFit="1" customWidth="1"/>
    <col min="53" max="53" width="15.140625" bestFit="1" customWidth="1"/>
    <col min="54" max="54" width="17.5703125" bestFit="1" customWidth="1"/>
    <col min="55" max="55" width="32.140625" bestFit="1" customWidth="1"/>
    <col min="56" max="56" width="31.85546875" bestFit="1" customWidth="1"/>
    <col min="58" max="58" width="17" bestFit="1" customWidth="1"/>
    <col min="59" max="59" width="17.28515625" bestFit="1" customWidth="1"/>
    <col min="61" max="61" width="17" bestFit="1" customWidth="1"/>
    <col min="62" max="62" width="17.28515625" bestFit="1" customWidth="1"/>
    <col min="63" max="63" width="12" bestFit="1" customWidth="1"/>
    <col min="64" max="64" width="20" bestFit="1" customWidth="1"/>
    <col min="65" max="65" width="20.140625" bestFit="1" customWidth="1"/>
    <col min="66" max="66" width="12.140625" bestFit="1" customWidth="1"/>
    <col min="67" max="67" width="20.140625" bestFit="1" customWidth="1"/>
    <col min="68" max="68" width="20.28515625" bestFit="1" customWidth="1"/>
    <col min="69" max="69" width="18.28515625" bestFit="1" customWidth="1"/>
    <col min="70" max="70" width="17.7109375" bestFit="1" customWidth="1"/>
    <col min="71" max="71" width="13.140625" bestFit="1" customWidth="1"/>
    <col min="72" max="72" width="19.85546875" bestFit="1" customWidth="1"/>
    <col min="73" max="73" width="23.5703125" bestFit="1" customWidth="1"/>
    <col min="74" max="74" width="22.42578125" bestFit="1" customWidth="1"/>
    <col min="75" max="75" width="20.28515625" bestFit="1" customWidth="1"/>
    <col min="76" max="76" width="15" bestFit="1" customWidth="1"/>
    <col min="77" max="77" width="13.85546875" bestFit="1" customWidth="1"/>
    <col min="78" max="78" width="19.140625" bestFit="1" customWidth="1"/>
    <col min="79" max="79" width="17" bestFit="1" customWidth="1"/>
    <col min="80" max="80" width="24.140625" bestFit="1" customWidth="1"/>
    <col min="81" max="81" width="22.140625" bestFit="1" customWidth="1"/>
    <col min="82" max="82" width="12.28515625" bestFit="1" customWidth="1"/>
    <col min="83" max="83" width="20.28515625" bestFit="1" customWidth="1"/>
    <col min="84" max="84" width="20.42578125" bestFit="1" customWidth="1"/>
    <col min="85" max="85" width="24" bestFit="1" customWidth="1"/>
    <col min="86" max="86" width="24.140625" bestFit="1" customWidth="1"/>
    <col min="87" max="87" width="32" bestFit="1" customWidth="1"/>
    <col min="88" max="88" width="30" bestFit="1" customWidth="1"/>
    <col min="89" max="89" width="32.28515625" bestFit="1" customWidth="1"/>
    <col min="90" max="90" width="23.5703125" bestFit="1" customWidth="1"/>
    <col min="91" max="91" width="31" bestFit="1" customWidth="1"/>
    <col min="92" max="92" width="27.28515625" bestFit="1" customWidth="1"/>
    <col min="93" max="93" width="29.140625" bestFit="1" customWidth="1"/>
    <col min="94" max="94" width="27.140625" bestFit="1" customWidth="1"/>
    <col min="95" max="95" width="23.7109375" bestFit="1" customWidth="1"/>
    <col min="96" max="96" width="31.140625" bestFit="1" customWidth="1"/>
    <col min="97" max="97" width="27.42578125" bestFit="1" customWidth="1"/>
    <col min="98" max="98" width="29.42578125" bestFit="1" customWidth="1"/>
    <col min="99" max="99" width="19.28515625" bestFit="1" customWidth="1"/>
    <col min="100" max="100" width="19.42578125" bestFit="1" customWidth="1"/>
    <col min="101" max="101" width="22.7109375" bestFit="1" customWidth="1"/>
    <col min="102" max="102" width="20.28515625" bestFit="1" customWidth="1"/>
    <col min="103" max="103" width="28.28515625" bestFit="1" customWidth="1"/>
    <col min="104" max="104" width="26.28515625" bestFit="1" customWidth="1"/>
    <col min="105" max="105" width="22.85546875" bestFit="1" customWidth="1"/>
    <col min="106" max="106" width="20.42578125" bestFit="1" customWidth="1"/>
    <col min="107" max="107" width="28.5703125" bestFit="1" customWidth="1"/>
    <col min="108" max="108" width="28.7109375" bestFit="1" customWidth="1"/>
    <col min="109" max="109" width="28.5703125" bestFit="1" customWidth="1"/>
    <col min="110" max="110" width="22.5703125" bestFit="1" customWidth="1"/>
    <col min="111" max="111" width="21.85546875" bestFit="1" customWidth="1"/>
    <col min="112" max="112" width="23.7109375" bestFit="1" customWidth="1"/>
    <col min="113" max="113" width="23.85546875" bestFit="1" customWidth="1"/>
    <col min="114" max="114" width="23.42578125" bestFit="1" customWidth="1"/>
    <col min="115" max="115" width="23.5703125" bestFit="1" customWidth="1"/>
    <col min="116" max="116" width="32" bestFit="1" customWidth="1"/>
    <col min="117" max="117" width="31.7109375" bestFit="1" customWidth="1"/>
    <col min="118" max="118" width="25.28515625" bestFit="1" customWidth="1"/>
    <col min="119" max="119" width="25.5703125" bestFit="1" customWidth="1"/>
    <col min="120" max="120" width="19.7109375" bestFit="1" customWidth="1"/>
    <col min="121" max="121" width="19.85546875" bestFit="1" customWidth="1"/>
    <col min="122" max="122" width="30.140625" bestFit="1" customWidth="1"/>
    <col min="123" max="123" width="30.28515625" bestFit="1" customWidth="1"/>
    <col min="124" max="124" width="25.85546875" bestFit="1" customWidth="1"/>
    <col min="125" max="125" width="26.42578125" bestFit="1" customWidth="1"/>
    <col min="126" max="126" width="33.140625" bestFit="1" customWidth="1"/>
    <col min="127" max="127" width="26" bestFit="1" customWidth="1"/>
    <col min="128" max="128" width="26.5703125" bestFit="1" customWidth="1"/>
    <col min="129" max="129" width="27.140625" bestFit="1" customWidth="1"/>
    <col min="130" max="130" width="34" bestFit="1" customWidth="1"/>
    <col min="131" max="131" width="26.7109375" bestFit="1" customWidth="1"/>
    <col min="132" max="132" width="26" bestFit="1" customWidth="1"/>
    <col min="133" max="133" width="26.7109375" bestFit="1" customWidth="1"/>
    <col min="134" max="134" width="17.7109375" bestFit="1" customWidth="1"/>
  </cols>
  <sheetData>
    <row r="1" spans="1:134">
      <c r="A1" t="s">
        <v>492</v>
      </c>
      <c r="B1" t="s">
        <v>337</v>
      </c>
      <c r="C1" t="s">
        <v>338</v>
      </c>
      <c r="D1" t="s">
        <v>339</v>
      </c>
      <c r="E1" t="s">
        <v>340</v>
      </c>
      <c r="F1" t="s">
        <v>341</v>
      </c>
      <c r="G1" t="s">
        <v>342</v>
      </c>
      <c r="H1" t="s">
        <v>343</v>
      </c>
      <c r="I1" t="s">
        <v>344</v>
      </c>
      <c r="J1" t="s">
        <v>345</v>
      </c>
      <c r="K1" t="s">
        <v>346</v>
      </c>
      <c r="L1" t="s">
        <v>347</v>
      </c>
      <c r="M1" t="s">
        <v>348</v>
      </c>
      <c r="N1" t="s">
        <v>349</v>
      </c>
      <c r="O1" t="s">
        <v>350</v>
      </c>
      <c r="P1" t="s">
        <v>351</v>
      </c>
      <c r="Q1" t="s">
        <v>352</v>
      </c>
      <c r="R1" t="s">
        <v>353</v>
      </c>
      <c r="S1" t="s">
        <v>354</v>
      </c>
      <c r="T1" t="s">
        <v>355</v>
      </c>
      <c r="U1" t="s">
        <v>356</v>
      </c>
      <c r="V1" t="s">
        <v>357</v>
      </c>
      <c r="W1" t="s">
        <v>358</v>
      </c>
      <c r="X1" t="s">
        <v>359</v>
      </c>
      <c r="Y1" t="s">
        <v>360</v>
      </c>
      <c r="Z1" t="s">
        <v>361</v>
      </c>
      <c r="AA1" t="s">
        <v>362</v>
      </c>
      <c r="AB1" t="s">
        <v>363</v>
      </c>
      <c r="AC1" t="s">
        <v>364</v>
      </c>
      <c r="AD1" t="s">
        <v>365</v>
      </c>
      <c r="AE1" t="s">
        <v>366</v>
      </c>
      <c r="AF1" t="s">
        <v>367</v>
      </c>
      <c r="AG1" t="s">
        <v>368</v>
      </c>
      <c r="AH1" t="s">
        <v>369</v>
      </c>
      <c r="AI1" t="s">
        <v>370</v>
      </c>
      <c r="AJ1" t="s">
        <v>371</v>
      </c>
      <c r="AK1" t="s">
        <v>372</v>
      </c>
      <c r="AL1" t="s">
        <v>373</v>
      </c>
      <c r="AM1" t="s">
        <v>374</v>
      </c>
      <c r="AN1" t="s">
        <v>375</v>
      </c>
      <c r="AO1" t="s">
        <v>376</v>
      </c>
      <c r="AP1" t="s">
        <v>377</v>
      </c>
      <c r="AQ1" t="s">
        <v>378</v>
      </c>
      <c r="AR1" t="s">
        <v>379</v>
      </c>
      <c r="AS1" t="s">
        <v>380</v>
      </c>
      <c r="AT1" t="s">
        <v>381</v>
      </c>
      <c r="AU1" t="s">
        <v>382</v>
      </c>
      <c r="AV1" t="s">
        <v>383</v>
      </c>
      <c r="AW1" t="s">
        <v>384</v>
      </c>
      <c r="AX1" t="s">
        <v>385</v>
      </c>
      <c r="AY1" t="s">
        <v>386</v>
      </c>
      <c r="AZ1" t="s">
        <v>387</v>
      </c>
      <c r="BA1" t="s">
        <v>388</v>
      </c>
      <c r="BB1" t="s">
        <v>389</v>
      </c>
      <c r="BC1" t="s">
        <v>390</v>
      </c>
      <c r="BD1" t="s">
        <v>391</v>
      </c>
      <c r="BE1" t="s">
        <v>392</v>
      </c>
      <c r="BF1" t="s">
        <v>393</v>
      </c>
      <c r="BG1" t="s">
        <v>394</v>
      </c>
      <c r="BH1" t="s">
        <v>395</v>
      </c>
      <c r="BI1" t="s">
        <v>396</v>
      </c>
      <c r="BJ1" t="s">
        <v>397</v>
      </c>
      <c r="BK1" t="s">
        <v>398</v>
      </c>
      <c r="BL1" t="s">
        <v>399</v>
      </c>
      <c r="BM1" t="s">
        <v>400</v>
      </c>
      <c r="BN1" t="s">
        <v>401</v>
      </c>
      <c r="BO1" t="s">
        <v>402</v>
      </c>
      <c r="BP1" t="s">
        <v>403</v>
      </c>
      <c r="BQ1" t="s">
        <v>404</v>
      </c>
      <c r="BR1" t="s">
        <v>405</v>
      </c>
      <c r="BS1" t="s">
        <v>406</v>
      </c>
      <c r="BT1" t="s">
        <v>407</v>
      </c>
      <c r="BU1" t="s">
        <v>408</v>
      </c>
      <c r="BV1" t="s">
        <v>409</v>
      </c>
      <c r="BW1" t="s">
        <v>410</v>
      </c>
      <c r="BX1" t="s">
        <v>411</v>
      </c>
      <c r="BY1" t="s">
        <v>412</v>
      </c>
      <c r="BZ1" t="s">
        <v>413</v>
      </c>
      <c r="CA1" t="s">
        <v>414</v>
      </c>
      <c r="CB1" t="s">
        <v>415</v>
      </c>
      <c r="CC1" t="s">
        <v>416</v>
      </c>
      <c r="CD1" t="s">
        <v>417</v>
      </c>
      <c r="CE1" t="s">
        <v>418</v>
      </c>
      <c r="CF1" t="s">
        <v>419</v>
      </c>
      <c r="CG1" t="s">
        <v>420</v>
      </c>
      <c r="CH1" t="s">
        <v>421</v>
      </c>
      <c r="CI1" t="s">
        <v>422</v>
      </c>
      <c r="CJ1" t="s">
        <v>423</v>
      </c>
      <c r="CK1" t="s">
        <v>424</v>
      </c>
      <c r="CL1" t="s">
        <v>425</v>
      </c>
      <c r="CM1" t="s">
        <v>426</v>
      </c>
      <c r="CN1" t="s">
        <v>427</v>
      </c>
      <c r="CO1" t="s">
        <v>428</v>
      </c>
      <c r="CP1" t="s">
        <v>429</v>
      </c>
      <c r="CQ1" t="s">
        <v>430</v>
      </c>
      <c r="CR1" t="s">
        <v>431</v>
      </c>
      <c r="CS1" t="s">
        <v>432</v>
      </c>
      <c r="CT1" t="s">
        <v>433</v>
      </c>
      <c r="CU1" t="s">
        <v>434</v>
      </c>
      <c r="CV1" t="s">
        <v>435</v>
      </c>
      <c r="CW1" t="s">
        <v>436</v>
      </c>
      <c r="CX1" t="s">
        <v>437</v>
      </c>
      <c r="CY1" t="s">
        <v>438</v>
      </c>
      <c r="CZ1" t="s">
        <v>439</v>
      </c>
      <c r="DA1" t="s">
        <v>440</v>
      </c>
      <c r="DB1" t="s">
        <v>441</v>
      </c>
      <c r="DC1" t="s">
        <v>442</v>
      </c>
      <c r="DD1" t="s">
        <v>443</v>
      </c>
      <c r="DE1" t="s">
        <v>444</v>
      </c>
      <c r="DF1" t="s">
        <v>445</v>
      </c>
      <c r="DG1" t="s">
        <v>446</v>
      </c>
      <c r="DH1" t="s">
        <v>447</v>
      </c>
      <c r="DI1" t="s">
        <v>448</v>
      </c>
      <c r="DJ1" t="s">
        <v>449</v>
      </c>
      <c r="DK1" t="s">
        <v>450</v>
      </c>
      <c r="DL1" t="s">
        <v>451</v>
      </c>
      <c r="DM1" t="s">
        <v>452</v>
      </c>
      <c r="DN1" t="s">
        <v>453</v>
      </c>
      <c r="DO1" t="s">
        <v>454</v>
      </c>
      <c r="DP1" t="s">
        <v>455</v>
      </c>
      <c r="DQ1" t="s">
        <v>456</v>
      </c>
      <c r="DR1" t="s">
        <v>457</v>
      </c>
      <c r="DS1" t="s">
        <v>458</v>
      </c>
      <c r="DT1" t="s">
        <v>459</v>
      </c>
      <c r="DU1" t="s">
        <v>460</v>
      </c>
      <c r="DV1" t="s">
        <v>461</v>
      </c>
      <c r="DW1" t="s">
        <v>462</v>
      </c>
      <c r="DX1" t="s">
        <v>463</v>
      </c>
      <c r="DY1" t="s">
        <v>464</v>
      </c>
      <c r="DZ1" t="s">
        <v>465</v>
      </c>
      <c r="EA1" t="s">
        <v>466</v>
      </c>
      <c r="EB1" t="s">
        <v>467</v>
      </c>
      <c r="EC1" t="s">
        <v>468</v>
      </c>
      <c r="ED1" t="s">
        <v>469</v>
      </c>
    </row>
    <row r="2" spans="1:134">
      <c r="A2" t="s">
        <v>470</v>
      </c>
      <c r="B2" t="s">
        <v>471</v>
      </c>
      <c r="C2">
        <v>0</v>
      </c>
      <c r="D2" t="s">
        <v>472</v>
      </c>
      <c r="K2" t="s">
        <v>478</v>
      </c>
      <c r="L2" t="s">
        <v>482</v>
      </c>
      <c r="M2" t="s">
        <v>499</v>
      </c>
      <c r="T2">
        <v>1</v>
      </c>
      <c r="U2">
        <v>24</v>
      </c>
      <c r="V2" t="s">
        <v>500</v>
      </c>
      <c r="W2">
        <v>31</v>
      </c>
      <c r="X2">
        <v>322</v>
      </c>
      <c r="Y2">
        <v>96</v>
      </c>
      <c r="Z2">
        <v>75</v>
      </c>
      <c r="AA2">
        <v>95.358000000000004</v>
      </c>
      <c r="AB2">
        <v>75</v>
      </c>
      <c r="AC2">
        <v>29</v>
      </c>
      <c r="AJ2">
        <v>102221</v>
      </c>
      <c r="AK2">
        <v>1737757</v>
      </c>
      <c r="AL2">
        <v>2298130</v>
      </c>
      <c r="AM2">
        <v>537809.9</v>
      </c>
      <c r="AN2">
        <v>2835940</v>
      </c>
      <c r="AO2">
        <v>0</v>
      </c>
      <c r="AP2">
        <v>236.32830000000001</v>
      </c>
      <c r="AQ2">
        <v>0</v>
      </c>
      <c r="AR2">
        <v>756802.4</v>
      </c>
      <c r="AS2">
        <v>102042.6</v>
      </c>
      <c r="AT2">
        <v>47263.519999999997</v>
      </c>
      <c r="BE2">
        <v>102222</v>
      </c>
      <c r="BF2">
        <v>202795.2</v>
      </c>
      <c r="BG2">
        <v>248276.7</v>
      </c>
      <c r="BH2">
        <v>51105.38</v>
      </c>
      <c r="BI2">
        <v>160843.20000000001</v>
      </c>
      <c r="BJ2">
        <v>390475.8</v>
      </c>
      <c r="BK2">
        <v>4666</v>
      </c>
      <c r="BL2">
        <v>147461.4</v>
      </c>
      <c r="BM2">
        <v>118049.8</v>
      </c>
      <c r="BN2">
        <v>0</v>
      </c>
      <c r="BO2">
        <v>0</v>
      </c>
      <c r="BP2">
        <v>0</v>
      </c>
      <c r="BQ2">
        <v>0</v>
      </c>
      <c r="BR2">
        <v>0</v>
      </c>
      <c r="BS2">
        <v>128824.2</v>
      </c>
      <c r="BT2">
        <v>461507.1</v>
      </c>
      <c r="BU2">
        <v>151643</v>
      </c>
      <c r="BV2">
        <v>543300.1</v>
      </c>
      <c r="BW2">
        <v>0</v>
      </c>
      <c r="BX2">
        <v>0</v>
      </c>
      <c r="BY2">
        <v>2561</v>
      </c>
      <c r="BZ2">
        <v>672262.4</v>
      </c>
      <c r="CA2">
        <v>537809.9</v>
      </c>
      <c r="CB2">
        <v>1677070</v>
      </c>
      <c r="CC2">
        <v>537809.9</v>
      </c>
      <c r="CD2">
        <v>0</v>
      </c>
      <c r="CE2">
        <v>0</v>
      </c>
      <c r="CF2">
        <v>0</v>
      </c>
      <c r="CG2">
        <v>0</v>
      </c>
      <c r="CH2">
        <v>0</v>
      </c>
      <c r="CI2">
        <v>0</v>
      </c>
      <c r="CJ2">
        <v>0</v>
      </c>
      <c r="CK2">
        <v>0</v>
      </c>
      <c r="CN2">
        <v>0</v>
      </c>
      <c r="CO2">
        <v>0</v>
      </c>
      <c r="CP2">
        <v>0</v>
      </c>
      <c r="CS2">
        <v>0</v>
      </c>
      <c r="CT2">
        <v>0</v>
      </c>
      <c r="CX2">
        <v>0</v>
      </c>
      <c r="CY2">
        <v>0</v>
      </c>
      <c r="CZ2">
        <v>0</v>
      </c>
      <c r="DB2">
        <v>0</v>
      </c>
      <c r="DC2">
        <v>0</v>
      </c>
      <c r="DD2">
        <v>14214.27</v>
      </c>
      <c r="DE2">
        <v>0</v>
      </c>
      <c r="DF2">
        <v>95746.36</v>
      </c>
      <c r="DG2">
        <v>0</v>
      </c>
      <c r="DH2">
        <v>0</v>
      </c>
      <c r="DI2">
        <v>0</v>
      </c>
      <c r="DJ2">
        <v>0</v>
      </c>
      <c r="DK2">
        <v>0</v>
      </c>
      <c r="DL2">
        <v>0</v>
      </c>
      <c r="DM2">
        <v>0</v>
      </c>
      <c r="DR2">
        <v>0</v>
      </c>
      <c r="DS2">
        <v>0</v>
      </c>
    </row>
    <row r="3" spans="1:134">
      <c r="A3" t="s">
        <v>470</v>
      </c>
      <c r="B3" t="s">
        <v>471</v>
      </c>
      <c r="C3">
        <v>0</v>
      </c>
      <c r="D3" t="s">
        <v>473</v>
      </c>
      <c r="K3" t="s">
        <v>478</v>
      </c>
      <c r="L3" t="s">
        <v>482</v>
      </c>
      <c r="M3" t="s">
        <v>499</v>
      </c>
      <c r="T3">
        <v>1</v>
      </c>
      <c r="U3">
        <v>24</v>
      </c>
      <c r="V3" t="s">
        <v>500</v>
      </c>
      <c r="W3">
        <v>31</v>
      </c>
      <c r="X3">
        <v>322</v>
      </c>
      <c r="Y3">
        <v>96</v>
      </c>
      <c r="Z3">
        <v>75</v>
      </c>
      <c r="AA3">
        <v>95.358000000000004</v>
      </c>
      <c r="AB3">
        <v>75</v>
      </c>
      <c r="AC3">
        <v>29</v>
      </c>
      <c r="AJ3">
        <v>102221</v>
      </c>
      <c r="AK3">
        <v>1737757</v>
      </c>
      <c r="AL3">
        <v>2208028</v>
      </c>
      <c r="AM3">
        <v>537809.9</v>
      </c>
      <c r="AN3">
        <v>2745838</v>
      </c>
      <c r="AO3">
        <v>0</v>
      </c>
      <c r="AP3">
        <v>228.81979999999999</v>
      </c>
      <c r="AQ3">
        <v>0</v>
      </c>
      <c r="AR3">
        <v>756802.4</v>
      </c>
      <c r="AS3">
        <v>97110.21</v>
      </c>
      <c r="AT3">
        <v>47263.519999999997</v>
      </c>
      <c r="BE3">
        <v>102222</v>
      </c>
      <c r="BF3">
        <v>202795.2</v>
      </c>
      <c r="BG3">
        <v>248276.7</v>
      </c>
      <c r="BH3">
        <v>51105.38</v>
      </c>
      <c r="BI3">
        <v>160843.20000000001</v>
      </c>
      <c r="BJ3">
        <v>390475.8</v>
      </c>
      <c r="BK3">
        <v>4666</v>
      </c>
      <c r="BL3">
        <v>147461.4</v>
      </c>
      <c r="BM3">
        <v>118049.8</v>
      </c>
      <c r="BN3">
        <v>0</v>
      </c>
      <c r="BO3">
        <v>0</v>
      </c>
      <c r="BP3">
        <v>0</v>
      </c>
      <c r="BQ3">
        <v>0</v>
      </c>
      <c r="BR3">
        <v>0</v>
      </c>
      <c r="BS3">
        <v>128824.2</v>
      </c>
      <c r="BT3">
        <v>461507.1</v>
      </c>
      <c r="BU3">
        <v>151643</v>
      </c>
      <c r="BV3">
        <v>543300.1</v>
      </c>
      <c r="BW3">
        <v>0</v>
      </c>
      <c r="BX3">
        <v>0</v>
      </c>
      <c r="BY3">
        <v>2561</v>
      </c>
      <c r="BZ3">
        <v>672262.4</v>
      </c>
      <c r="CA3">
        <v>537809.9</v>
      </c>
      <c r="CB3">
        <v>1677070</v>
      </c>
      <c r="CC3">
        <v>537809.9</v>
      </c>
      <c r="CD3">
        <v>0</v>
      </c>
      <c r="CE3">
        <v>0</v>
      </c>
      <c r="CF3">
        <v>0</v>
      </c>
      <c r="CG3">
        <v>0</v>
      </c>
      <c r="CH3">
        <v>0</v>
      </c>
      <c r="CI3">
        <v>0</v>
      </c>
      <c r="CJ3">
        <v>0</v>
      </c>
      <c r="CK3">
        <v>0</v>
      </c>
      <c r="CN3">
        <v>0</v>
      </c>
      <c r="CO3">
        <v>0</v>
      </c>
      <c r="CP3">
        <v>0</v>
      </c>
      <c r="CS3">
        <v>0</v>
      </c>
      <c r="CT3">
        <v>0</v>
      </c>
      <c r="CX3">
        <v>0</v>
      </c>
      <c r="CY3">
        <v>0</v>
      </c>
      <c r="CZ3">
        <v>0</v>
      </c>
      <c r="DB3">
        <v>0</v>
      </c>
      <c r="DC3">
        <v>0</v>
      </c>
      <c r="DD3">
        <v>13527.2</v>
      </c>
      <c r="DE3">
        <v>0</v>
      </c>
      <c r="DF3">
        <v>6331.12</v>
      </c>
      <c r="DG3">
        <v>0</v>
      </c>
      <c r="DH3">
        <v>0</v>
      </c>
      <c r="DI3">
        <v>0</v>
      </c>
      <c r="DJ3">
        <v>0</v>
      </c>
      <c r="DK3">
        <v>0</v>
      </c>
      <c r="DL3">
        <v>0</v>
      </c>
      <c r="DM3">
        <v>0</v>
      </c>
      <c r="DR3">
        <v>0</v>
      </c>
      <c r="DS3">
        <v>0</v>
      </c>
    </row>
    <row r="4" spans="1:134">
      <c r="B4" t="s">
        <v>474</v>
      </c>
      <c r="C4">
        <v>3</v>
      </c>
      <c r="D4" t="s">
        <v>472</v>
      </c>
      <c r="E4">
        <v>1</v>
      </c>
      <c r="F4" t="s">
        <v>475</v>
      </c>
      <c r="G4">
        <v>1</v>
      </c>
      <c r="H4" t="s">
        <v>501</v>
      </c>
      <c r="I4">
        <v>0</v>
      </c>
      <c r="J4">
        <v>1</v>
      </c>
      <c r="K4" t="s">
        <v>478</v>
      </c>
      <c r="L4" t="s">
        <v>479</v>
      </c>
      <c r="Y4">
        <v>96</v>
      </c>
      <c r="Z4">
        <v>75</v>
      </c>
      <c r="AA4">
        <v>93.86</v>
      </c>
      <c r="AB4">
        <v>75</v>
      </c>
      <c r="AC4">
        <v>29</v>
      </c>
      <c r="AF4">
        <v>75</v>
      </c>
      <c r="AG4">
        <v>52</v>
      </c>
      <c r="AH4">
        <v>63.062869999999997</v>
      </c>
      <c r="AI4">
        <v>75</v>
      </c>
      <c r="AJ4">
        <v>790</v>
      </c>
      <c r="AK4">
        <v>13430</v>
      </c>
      <c r="AL4">
        <v>19525.16</v>
      </c>
      <c r="AM4">
        <v>5460</v>
      </c>
      <c r="AN4">
        <v>24985.16</v>
      </c>
      <c r="AR4">
        <v>9332.7150000000001</v>
      </c>
      <c r="AS4">
        <v>868.00580000000002</v>
      </c>
      <c r="AT4">
        <v>582.84289999999999</v>
      </c>
      <c r="AU4" t="s">
        <v>476</v>
      </c>
      <c r="AV4">
        <v>0</v>
      </c>
      <c r="AW4">
        <v>0</v>
      </c>
      <c r="AX4">
        <v>0</v>
      </c>
      <c r="AY4">
        <v>1</v>
      </c>
      <c r="AZ4">
        <v>868.00580000000002</v>
      </c>
      <c r="BA4">
        <v>0</v>
      </c>
      <c r="BB4">
        <v>0</v>
      </c>
      <c r="BE4">
        <v>790</v>
      </c>
      <c r="BF4">
        <v>1527.441</v>
      </c>
      <c r="BG4">
        <v>1918.752</v>
      </c>
      <c r="BH4">
        <v>871</v>
      </c>
      <c r="BI4">
        <v>2377.9569999999999</v>
      </c>
      <c r="BJ4">
        <v>6654.9629999999997</v>
      </c>
      <c r="BK4">
        <v>30</v>
      </c>
      <c r="BL4">
        <v>532.94849999999997</v>
      </c>
      <c r="BM4">
        <v>759</v>
      </c>
      <c r="BN4">
        <v>0</v>
      </c>
      <c r="BO4">
        <v>0</v>
      </c>
      <c r="BP4">
        <v>0</v>
      </c>
      <c r="BQ4">
        <v>0</v>
      </c>
      <c r="BR4">
        <v>0</v>
      </c>
      <c r="BS4">
        <v>1106</v>
      </c>
      <c r="BT4">
        <v>3962.5189999999998</v>
      </c>
      <c r="BU4">
        <v>1200</v>
      </c>
      <c r="BV4">
        <v>4299.2979999999998</v>
      </c>
      <c r="BW4">
        <v>0</v>
      </c>
      <c r="BX4">
        <v>0</v>
      </c>
      <c r="BY4">
        <v>26</v>
      </c>
      <c r="BZ4">
        <v>6825</v>
      </c>
      <c r="CA4">
        <v>5460</v>
      </c>
      <c r="CB4">
        <v>15086.82</v>
      </c>
      <c r="CC4">
        <v>5460</v>
      </c>
      <c r="CD4">
        <v>0</v>
      </c>
      <c r="CE4">
        <v>0</v>
      </c>
      <c r="CF4">
        <v>0</v>
      </c>
      <c r="CL4" t="s">
        <v>477</v>
      </c>
      <c r="CM4">
        <v>0</v>
      </c>
      <c r="CN4">
        <v>0</v>
      </c>
      <c r="CQ4" t="s">
        <v>477</v>
      </c>
      <c r="CR4">
        <v>0</v>
      </c>
      <c r="CS4">
        <v>0</v>
      </c>
      <c r="CU4">
        <v>0</v>
      </c>
      <c r="CV4">
        <v>0</v>
      </c>
      <c r="CW4" t="s">
        <v>477</v>
      </c>
      <c r="CX4">
        <v>0</v>
      </c>
      <c r="CY4">
        <v>0</v>
      </c>
      <c r="CZ4">
        <v>0</v>
      </c>
      <c r="DA4" t="s">
        <v>477</v>
      </c>
      <c r="DB4">
        <v>0</v>
      </c>
      <c r="DC4">
        <v>0</v>
      </c>
      <c r="DN4">
        <v>0</v>
      </c>
      <c r="DO4">
        <v>0</v>
      </c>
    </row>
    <row r="5" spans="1:134">
      <c r="B5" t="s">
        <v>474</v>
      </c>
      <c r="C5">
        <v>3</v>
      </c>
      <c r="D5" t="s">
        <v>472</v>
      </c>
      <c r="E5">
        <v>1</v>
      </c>
      <c r="F5" t="s">
        <v>475</v>
      </c>
      <c r="G5">
        <v>2</v>
      </c>
      <c r="H5" t="s">
        <v>502</v>
      </c>
      <c r="I5">
        <v>0</v>
      </c>
      <c r="J5">
        <v>1</v>
      </c>
      <c r="K5" t="s">
        <v>478</v>
      </c>
      <c r="L5" t="s">
        <v>482</v>
      </c>
      <c r="Y5">
        <v>96</v>
      </c>
      <c r="Z5">
        <v>75</v>
      </c>
      <c r="AA5">
        <v>95.358000000000004</v>
      </c>
      <c r="AB5">
        <v>75</v>
      </c>
      <c r="AC5">
        <v>29</v>
      </c>
      <c r="AF5">
        <v>75</v>
      </c>
      <c r="AG5">
        <v>52</v>
      </c>
      <c r="AH5">
        <v>63.062869999999997</v>
      </c>
      <c r="AI5">
        <v>75</v>
      </c>
      <c r="AJ5">
        <v>350</v>
      </c>
      <c r="AK5">
        <v>5950</v>
      </c>
      <c r="AL5">
        <v>2575.297</v>
      </c>
      <c r="AM5">
        <v>0</v>
      </c>
      <c r="AN5">
        <v>2575.297</v>
      </c>
      <c r="AR5">
        <v>850.08</v>
      </c>
      <c r="AS5">
        <v>210</v>
      </c>
      <c r="AT5">
        <v>53.088850000000001</v>
      </c>
      <c r="AU5" t="s">
        <v>476</v>
      </c>
      <c r="AV5">
        <v>0</v>
      </c>
      <c r="AW5">
        <v>0</v>
      </c>
      <c r="AX5">
        <v>0</v>
      </c>
      <c r="AY5">
        <v>1</v>
      </c>
      <c r="AZ5">
        <v>210</v>
      </c>
      <c r="BA5">
        <v>0</v>
      </c>
      <c r="BB5">
        <v>0</v>
      </c>
      <c r="BE5">
        <v>350</v>
      </c>
      <c r="BF5">
        <v>694.35440000000006</v>
      </c>
      <c r="BG5">
        <v>850.08</v>
      </c>
      <c r="BH5">
        <v>0</v>
      </c>
      <c r="BI5">
        <v>0</v>
      </c>
      <c r="BJ5">
        <v>0</v>
      </c>
      <c r="BK5">
        <v>0</v>
      </c>
      <c r="BL5">
        <v>0</v>
      </c>
      <c r="BM5">
        <v>0</v>
      </c>
      <c r="BN5">
        <v>0</v>
      </c>
      <c r="BO5">
        <v>0</v>
      </c>
      <c r="BP5">
        <v>0</v>
      </c>
      <c r="BQ5">
        <v>0</v>
      </c>
      <c r="BR5">
        <v>0</v>
      </c>
      <c r="BS5">
        <v>175</v>
      </c>
      <c r="BT5">
        <v>626.98090000000002</v>
      </c>
      <c r="BU5">
        <v>350</v>
      </c>
      <c r="BV5">
        <v>1253.962</v>
      </c>
      <c r="BW5">
        <v>0</v>
      </c>
      <c r="BX5">
        <v>0</v>
      </c>
      <c r="BY5">
        <v>0</v>
      </c>
      <c r="BZ5">
        <v>0</v>
      </c>
      <c r="CA5">
        <v>0</v>
      </c>
      <c r="CB5">
        <v>1880.943</v>
      </c>
      <c r="CC5">
        <v>0</v>
      </c>
      <c r="CD5">
        <v>0</v>
      </c>
      <c r="CE5">
        <v>0</v>
      </c>
      <c r="CF5">
        <v>0</v>
      </c>
      <c r="CL5" t="s">
        <v>477</v>
      </c>
      <c r="CM5">
        <v>0</v>
      </c>
      <c r="CN5">
        <v>0</v>
      </c>
      <c r="CQ5" t="s">
        <v>477</v>
      </c>
      <c r="CR5">
        <v>0</v>
      </c>
      <c r="CS5">
        <v>0</v>
      </c>
      <c r="CU5">
        <v>0</v>
      </c>
      <c r="CV5">
        <v>0</v>
      </c>
      <c r="CW5" t="s">
        <v>477</v>
      </c>
      <c r="CX5">
        <v>0</v>
      </c>
      <c r="CY5">
        <v>0</v>
      </c>
      <c r="CZ5">
        <v>0</v>
      </c>
      <c r="DA5" t="s">
        <v>477</v>
      </c>
      <c r="DB5">
        <v>0</v>
      </c>
      <c r="DC5">
        <v>0</v>
      </c>
      <c r="DN5">
        <v>0</v>
      </c>
      <c r="DO5">
        <v>0</v>
      </c>
    </row>
    <row r="6" spans="1:134">
      <c r="B6" t="s">
        <v>474</v>
      </c>
      <c r="C6">
        <v>3</v>
      </c>
      <c r="D6" t="s">
        <v>472</v>
      </c>
      <c r="E6">
        <v>1</v>
      </c>
      <c r="F6" t="s">
        <v>475</v>
      </c>
      <c r="G6">
        <v>3</v>
      </c>
      <c r="H6" t="s">
        <v>503</v>
      </c>
      <c r="I6">
        <v>0</v>
      </c>
      <c r="J6">
        <v>1</v>
      </c>
      <c r="K6" t="s">
        <v>478</v>
      </c>
      <c r="L6" t="s">
        <v>482</v>
      </c>
      <c r="Y6">
        <v>96</v>
      </c>
      <c r="Z6">
        <v>75</v>
      </c>
      <c r="AA6">
        <v>95.358000000000004</v>
      </c>
      <c r="AB6">
        <v>75</v>
      </c>
      <c r="AC6">
        <v>29</v>
      </c>
      <c r="AF6">
        <v>75</v>
      </c>
      <c r="AG6">
        <v>52</v>
      </c>
      <c r="AH6">
        <v>63.062869999999997</v>
      </c>
      <c r="AI6">
        <v>75</v>
      </c>
      <c r="AJ6">
        <v>790</v>
      </c>
      <c r="AK6">
        <v>13430</v>
      </c>
      <c r="AL6">
        <v>18995.96</v>
      </c>
      <c r="AM6">
        <v>5460</v>
      </c>
      <c r="AN6">
        <v>24455.96</v>
      </c>
      <c r="AR6">
        <v>6611.5150000000003</v>
      </c>
      <c r="AS6">
        <v>844.4796</v>
      </c>
      <c r="AT6">
        <v>412.89960000000002</v>
      </c>
      <c r="AU6" t="s">
        <v>476</v>
      </c>
      <c r="AV6">
        <v>0</v>
      </c>
      <c r="AW6">
        <v>0</v>
      </c>
      <c r="AX6">
        <v>0</v>
      </c>
      <c r="AY6">
        <v>1</v>
      </c>
      <c r="AZ6">
        <v>844.4796</v>
      </c>
      <c r="BA6">
        <v>0</v>
      </c>
      <c r="BB6">
        <v>0</v>
      </c>
      <c r="BE6">
        <v>790</v>
      </c>
      <c r="BF6">
        <v>1567.2570000000001</v>
      </c>
      <c r="BG6">
        <v>1918.752</v>
      </c>
      <c r="BH6">
        <v>514.85</v>
      </c>
      <c r="BI6">
        <v>1568.5619999999999</v>
      </c>
      <c r="BJ6">
        <v>3933.7629999999999</v>
      </c>
      <c r="BK6">
        <v>30</v>
      </c>
      <c r="BL6">
        <v>773.32500000000005</v>
      </c>
      <c r="BM6">
        <v>759</v>
      </c>
      <c r="BN6">
        <v>0</v>
      </c>
      <c r="BO6">
        <v>0</v>
      </c>
      <c r="BP6">
        <v>0</v>
      </c>
      <c r="BQ6">
        <v>0</v>
      </c>
      <c r="BR6">
        <v>0</v>
      </c>
      <c r="BS6">
        <v>1106</v>
      </c>
      <c r="BT6">
        <v>3962.5189999999998</v>
      </c>
      <c r="BU6">
        <v>1200</v>
      </c>
      <c r="BV6">
        <v>4299.2979999999998</v>
      </c>
      <c r="BW6">
        <v>0</v>
      </c>
      <c r="BX6">
        <v>0</v>
      </c>
      <c r="BY6">
        <v>26</v>
      </c>
      <c r="BZ6">
        <v>6825</v>
      </c>
      <c r="CA6">
        <v>5460</v>
      </c>
      <c r="CB6">
        <v>15086.82</v>
      </c>
      <c r="CC6">
        <v>5460</v>
      </c>
      <c r="CD6">
        <v>0</v>
      </c>
      <c r="CE6">
        <v>0</v>
      </c>
      <c r="CF6">
        <v>0</v>
      </c>
      <c r="CL6" t="s">
        <v>477</v>
      </c>
      <c r="CM6">
        <v>0</v>
      </c>
      <c r="CN6">
        <v>0</v>
      </c>
      <c r="CQ6" t="s">
        <v>477</v>
      </c>
      <c r="CR6">
        <v>0</v>
      </c>
      <c r="CS6">
        <v>0</v>
      </c>
      <c r="CU6">
        <v>0</v>
      </c>
      <c r="CV6">
        <v>0</v>
      </c>
      <c r="CW6" t="s">
        <v>477</v>
      </c>
      <c r="CX6">
        <v>0</v>
      </c>
      <c r="CY6">
        <v>0</v>
      </c>
      <c r="CZ6">
        <v>0</v>
      </c>
      <c r="DA6" t="s">
        <v>477</v>
      </c>
      <c r="DB6">
        <v>0</v>
      </c>
      <c r="DC6">
        <v>0</v>
      </c>
      <c r="DN6">
        <v>0</v>
      </c>
      <c r="DO6">
        <v>0</v>
      </c>
    </row>
    <row r="7" spans="1:134">
      <c r="B7" t="s">
        <v>474</v>
      </c>
      <c r="C7">
        <v>3</v>
      </c>
      <c r="D7" t="s">
        <v>472</v>
      </c>
      <c r="E7">
        <v>1</v>
      </c>
      <c r="F7" t="s">
        <v>475</v>
      </c>
      <c r="G7">
        <v>4</v>
      </c>
      <c r="H7" t="s">
        <v>504</v>
      </c>
      <c r="I7">
        <v>0</v>
      </c>
      <c r="J7">
        <v>1</v>
      </c>
      <c r="K7" t="s">
        <v>478</v>
      </c>
      <c r="L7" t="s">
        <v>482</v>
      </c>
      <c r="Y7">
        <v>96</v>
      </c>
      <c r="Z7">
        <v>75</v>
      </c>
      <c r="AA7">
        <v>95.358000000000004</v>
      </c>
      <c r="AB7">
        <v>75</v>
      </c>
      <c r="AC7">
        <v>29</v>
      </c>
      <c r="AF7">
        <v>75</v>
      </c>
      <c r="AG7">
        <v>52</v>
      </c>
      <c r="AH7">
        <v>63.062869999999997</v>
      </c>
      <c r="AI7">
        <v>75</v>
      </c>
      <c r="AJ7">
        <v>775</v>
      </c>
      <c r="AK7">
        <v>13175</v>
      </c>
      <c r="AL7">
        <v>18460.27</v>
      </c>
      <c r="AM7">
        <v>5460</v>
      </c>
      <c r="AN7">
        <v>23920.27</v>
      </c>
      <c r="AR7">
        <v>5558.0429999999997</v>
      </c>
      <c r="AS7">
        <v>820.66520000000003</v>
      </c>
      <c r="AT7">
        <v>347.10860000000002</v>
      </c>
      <c r="AU7" t="s">
        <v>476</v>
      </c>
      <c r="AV7">
        <v>0</v>
      </c>
      <c r="AW7">
        <v>0</v>
      </c>
      <c r="AX7">
        <v>0</v>
      </c>
      <c r="AY7">
        <v>1</v>
      </c>
      <c r="AZ7">
        <v>820.66520000000003</v>
      </c>
      <c r="BA7">
        <v>0</v>
      </c>
      <c r="BB7">
        <v>0</v>
      </c>
      <c r="BE7">
        <v>775</v>
      </c>
      <c r="BF7">
        <v>1537.499</v>
      </c>
      <c r="BG7">
        <v>1882.32</v>
      </c>
      <c r="BH7">
        <v>381.74</v>
      </c>
      <c r="BI7">
        <v>1137.867</v>
      </c>
      <c r="BJ7">
        <v>2916.723</v>
      </c>
      <c r="BK7">
        <v>30</v>
      </c>
      <c r="BL7">
        <v>773.32500000000005</v>
      </c>
      <c r="BM7">
        <v>759</v>
      </c>
      <c r="BN7">
        <v>0</v>
      </c>
      <c r="BO7">
        <v>0</v>
      </c>
      <c r="BP7">
        <v>0</v>
      </c>
      <c r="BQ7">
        <v>0</v>
      </c>
      <c r="BR7">
        <v>0</v>
      </c>
      <c r="BS7">
        <v>1085</v>
      </c>
      <c r="BT7">
        <v>3887.2809999999999</v>
      </c>
      <c r="BU7">
        <v>1200</v>
      </c>
      <c r="BV7">
        <v>4299.2979999999998</v>
      </c>
      <c r="BW7">
        <v>0</v>
      </c>
      <c r="BX7">
        <v>0</v>
      </c>
      <c r="BY7">
        <v>26</v>
      </c>
      <c r="BZ7">
        <v>6825</v>
      </c>
      <c r="CA7">
        <v>5460</v>
      </c>
      <c r="CB7">
        <v>15011.58</v>
      </c>
      <c r="CC7">
        <v>5460</v>
      </c>
      <c r="CD7">
        <v>0</v>
      </c>
      <c r="CE7">
        <v>0</v>
      </c>
      <c r="CF7">
        <v>0</v>
      </c>
      <c r="CL7" t="s">
        <v>477</v>
      </c>
      <c r="CM7">
        <v>0</v>
      </c>
      <c r="CN7">
        <v>0</v>
      </c>
      <c r="CQ7" t="s">
        <v>477</v>
      </c>
      <c r="CR7">
        <v>0</v>
      </c>
      <c r="CS7">
        <v>0</v>
      </c>
      <c r="CU7">
        <v>0</v>
      </c>
      <c r="CV7">
        <v>0</v>
      </c>
      <c r="CW7" t="s">
        <v>477</v>
      </c>
      <c r="CX7">
        <v>0</v>
      </c>
      <c r="CY7">
        <v>0</v>
      </c>
      <c r="CZ7">
        <v>0</v>
      </c>
      <c r="DA7" t="s">
        <v>477</v>
      </c>
      <c r="DB7">
        <v>0</v>
      </c>
      <c r="DC7">
        <v>0</v>
      </c>
      <c r="DN7">
        <v>0</v>
      </c>
      <c r="DO7">
        <v>0</v>
      </c>
    </row>
    <row r="8" spans="1:134">
      <c r="B8" t="s">
        <v>474</v>
      </c>
      <c r="C8">
        <v>3</v>
      </c>
      <c r="D8" t="s">
        <v>472</v>
      </c>
      <c r="E8">
        <v>1</v>
      </c>
      <c r="F8" t="s">
        <v>475</v>
      </c>
      <c r="G8">
        <v>5</v>
      </c>
      <c r="H8" t="s">
        <v>505</v>
      </c>
      <c r="I8">
        <v>0</v>
      </c>
      <c r="J8">
        <v>1</v>
      </c>
      <c r="K8" t="s">
        <v>478</v>
      </c>
      <c r="L8" t="s">
        <v>525</v>
      </c>
      <c r="Y8">
        <v>96</v>
      </c>
      <c r="Z8">
        <v>75</v>
      </c>
      <c r="AA8">
        <v>96</v>
      </c>
      <c r="AB8">
        <v>75</v>
      </c>
      <c r="AC8">
        <v>29</v>
      </c>
      <c r="AF8">
        <v>75</v>
      </c>
      <c r="AG8">
        <v>52</v>
      </c>
      <c r="AH8">
        <v>63.062869999999997</v>
      </c>
      <c r="AI8">
        <v>75</v>
      </c>
      <c r="AJ8">
        <v>762</v>
      </c>
      <c r="AK8">
        <v>12954</v>
      </c>
      <c r="AL8">
        <v>25176.95</v>
      </c>
      <c r="AM8">
        <v>5460</v>
      </c>
      <c r="AN8">
        <v>30636.95</v>
      </c>
      <c r="AR8">
        <v>15973.28</v>
      </c>
      <c r="AS8">
        <v>1119.26</v>
      </c>
      <c r="AT8">
        <v>997.55709999999999</v>
      </c>
      <c r="AU8" t="s">
        <v>476</v>
      </c>
      <c r="AV8">
        <v>0</v>
      </c>
      <c r="AW8">
        <v>0</v>
      </c>
      <c r="AX8">
        <v>0</v>
      </c>
      <c r="AY8">
        <v>1</v>
      </c>
      <c r="AZ8">
        <v>1119.26</v>
      </c>
      <c r="BA8">
        <v>0</v>
      </c>
      <c r="BB8">
        <v>0</v>
      </c>
      <c r="BE8">
        <v>762</v>
      </c>
      <c r="BF8">
        <v>1454.1020000000001</v>
      </c>
      <c r="BG8">
        <v>1850.7460000000001</v>
      </c>
      <c r="BH8">
        <v>994.05</v>
      </c>
      <c r="BI8">
        <v>2993.7280000000001</v>
      </c>
      <c r="BJ8">
        <v>7595.1379999999999</v>
      </c>
      <c r="BK8">
        <v>258</v>
      </c>
      <c r="BL8">
        <v>5782.7449999999999</v>
      </c>
      <c r="BM8">
        <v>6527.4</v>
      </c>
      <c r="BN8">
        <v>0</v>
      </c>
      <c r="BO8">
        <v>0</v>
      </c>
      <c r="BP8">
        <v>0</v>
      </c>
      <c r="BQ8">
        <v>0</v>
      </c>
      <c r="BR8">
        <v>0</v>
      </c>
      <c r="BS8">
        <v>1066.8</v>
      </c>
      <c r="BT8">
        <v>3822.076</v>
      </c>
      <c r="BU8">
        <v>1200</v>
      </c>
      <c r="BV8">
        <v>4299.2979999999998</v>
      </c>
      <c r="BW8">
        <v>0</v>
      </c>
      <c r="BX8">
        <v>0</v>
      </c>
      <c r="BY8">
        <v>26</v>
      </c>
      <c r="BZ8">
        <v>6825</v>
      </c>
      <c r="CA8">
        <v>5460</v>
      </c>
      <c r="CB8">
        <v>14946.37</v>
      </c>
      <c r="CC8">
        <v>5460</v>
      </c>
      <c r="CD8">
        <v>0</v>
      </c>
      <c r="CE8">
        <v>0</v>
      </c>
      <c r="CF8">
        <v>0</v>
      </c>
      <c r="CL8" t="s">
        <v>477</v>
      </c>
      <c r="CM8">
        <v>0</v>
      </c>
      <c r="CN8">
        <v>0</v>
      </c>
      <c r="CQ8" t="s">
        <v>477</v>
      </c>
      <c r="CR8">
        <v>0</v>
      </c>
      <c r="CS8">
        <v>0</v>
      </c>
      <c r="CU8">
        <v>0</v>
      </c>
      <c r="CV8">
        <v>0</v>
      </c>
      <c r="CW8" t="s">
        <v>477</v>
      </c>
      <c r="CX8">
        <v>0</v>
      </c>
      <c r="CY8">
        <v>0</v>
      </c>
      <c r="CZ8">
        <v>0</v>
      </c>
      <c r="DA8" t="s">
        <v>477</v>
      </c>
      <c r="DB8">
        <v>0</v>
      </c>
      <c r="DC8">
        <v>0</v>
      </c>
      <c r="DN8">
        <v>0</v>
      </c>
      <c r="DO8">
        <v>0</v>
      </c>
    </row>
    <row r="9" spans="1:134">
      <c r="B9" t="s">
        <v>474</v>
      </c>
      <c r="C9">
        <v>3</v>
      </c>
      <c r="D9" t="s">
        <v>472</v>
      </c>
      <c r="E9">
        <v>1</v>
      </c>
      <c r="F9" t="s">
        <v>475</v>
      </c>
      <c r="G9">
        <v>6</v>
      </c>
      <c r="H9" t="s">
        <v>506</v>
      </c>
      <c r="I9">
        <v>0</v>
      </c>
      <c r="J9">
        <v>1</v>
      </c>
      <c r="K9" t="s">
        <v>478</v>
      </c>
      <c r="L9" t="s">
        <v>479</v>
      </c>
      <c r="Y9">
        <v>96</v>
      </c>
      <c r="Z9">
        <v>75</v>
      </c>
      <c r="AA9">
        <v>93.86</v>
      </c>
      <c r="AB9">
        <v>75</v>
      </c>
      <c r="AC9">
        <v>29</v>
      </c>
      <c r="AF9">
        <v>75</v>
      </c>
      <c r="AG9">
        <v>52</v>
      </c>
      <c r="AH9">
        <v>63.062869999999997</v>
      </c>
      <c r="AI9">
        <v>75</v>
      </c>
      <c r="AJ9">
        <v>790</v>
      </c>
      <c r="AK9">
        <v>13430</v>
      </c>
      <c r="AL9">
        <v>17894.310000000001</v>
      </c>
      <c r="AM9">
        <v>5460</v>
      </c>
      <c r="AN9">
        <v>23354.31</v>
      </c>
      <c r="AR9">
        <v>5604.8649999999998</v>
      </c>
      <c r="AS9">
        <v>795.50519999999995</v>
      </c>
      <c r="AT9">
        <v>350.03280000000001</v>
      </c>
      <c r="AU9" t="s">
        <v>476</v>
      </c>
      <c r="AV9">
        <v>0</v>
      </c>
      <c r="AW9">
        <v>0</v>
      </c>
      <c r="AX9">
        <v>0</v>
      </c>
      <c r="AY9">
        <v>1</v>
      </c>
      <c r="AZ9">
        <v>795.50519999999995</v>
      </c>
      <c r="BA9">
        <v>0</v>
      </c>
      <c r="BB9">
        <v>0</v>
      </c>
      <c r="BE9">
        <v>790</v>
      </c>
      <c r="BF9">
        <v>1527.441</v>
      </c>
      <c r="BG9">
        <v>1918.752</v>
      </c>
      <c r="BH9">
        <v>383.1</v>
      </c>
      <c r="BI9">
        <v>747.10810000000004</v>
      </c>
      <c r="BJ9">
        <v>2927.114</v>
      </c>
      <c r="BK9">
        <v>30</v>
      </c>
      <c r="BL9">
        <v>532.94849999999997</v>
      </c>
      <c r="BM9">
        <v>759</v>
      </c>
      <c r="BN9">
        <v>0</v>
      </c>
      <c r="BO9">
        <v>0</v>
      </c>
      <c r="BP9">
        <v>0</v>
      </c>
      <c r="BQ9">
        <v>0</v>
      </c>
      <c r="BR9">
        <v>0</v>
      </c>
      <c r="BS9">
        <v>1106</v>
      </c>
      <c r="BT9">
        <v>3962.5189999999998</v>
      </c>
      <c r="BU9">
        <v>1200</v>
      </c>
      <c r="BV9">
        <v>4299.2979999999998</v>
      </c>
      <c r="BW9">
        <v>0</v>
      </c>
      <c r="BX9">
        <v>0</v>
      </c>
      <c r="BY9">
        <v>26</v>
      </c>
      <c r="BZ9">
        <v>6825</v>
      </c>
      <c r="CA9">
        <v>5460</v>
      </c>
      <c r="CB9">
        <v>15086.82</v>
      </c>
      <c r="CC9">
        <v>5460</v>
      </c>
      <c r="CD9">
        <v>0</v>
      </c>
      <c r="CE9">
        <v>0</v>
      </c>
      <c r="CF9">
        <v>0</v>
      </c>
      <c r="CL9" t="s">
        <v>477</v>
      </c>
      <c r="CM9">
        <v>0</v>
      </c>
      <c r="CN9">
        <v>0</v>
      </c>
      <c r="CQ9" t="s">
        <v>477</v>
      </c>
      <c r="CR9">
        <v>0</v>
      </c>
      <c r="CS9">
        <v>0</v>
      </c>
      <c r="CU9">
        <v>0</v>
      </c>
      <c r="CV9">
        <v>0</v>
      </c>
      <c r="CW9" t="s">
        <v>477</v>
      </c>
      <c r="CX9">
        <v>0</v>
      </c>
      <c r="CY9">
        <v>0</v>
      </c>
      <c r="CZ9">
        <v>0</v>
      </c>
      <c r="DA9" t="s">
        <v>477</v>
      </c>
      <c r="DB9">
        <v>0</v>
      </c>
      <c r="DC9">
        <v>0</v>
      </c>
      <c r="DN9">
        <v>0</v>
      </c>
      <c r="DO9">
        <v>0</v>
      </c>
    </row>
    <row r="10" spans="1:134">
      <c r="B10" t="s">
        <v>474</v>
      </c>
      <c r="C10">
        <v>3</v>
      </c>
      <c r="D10" t="s">
        <v>472</v>
      </c>
      <c r="E10">
        <v>1</v>
      </c>
      <c r="F10" t="s">
        <v>475</v>
      </c>
      <c r="G10">
        <v>7</v>
      </c>
      <c r="H10" t="s">
        <v>507</v>
      </c>
      <c r="I10">
        <v>0</v>
      </c>
      <c r="J10">
        <v>1</v>
      </c>
      <c r="K10" t="s">
        <v>478</v>
      </c>
      <c r="L10" t="s">
        <v>479</v>
      </c>
      <c r="Y10">
        <v>96</v>
      </c>
      <c r="Z10">
        <v>75</v>
      </c>
      <c r="AA10">
        <v>93.86</v>
      </c>
      <c r="AB10">
        <v>75</v>
      </c>
      <c r="AC10">
        <v>29</v>
      </c>
      <c r="AF10">
        <v>75</v>
      </c>
      <c r="AG10">
        <v>52</v>
      </c>
      <c r="AH10">
        <v>63.062869999999997</v>
      </c>
      <c r="AI10">
        <v>75</v>
      </c>
      <c r="AJ10">
        <v>780</v>
      </c>
      <c r="AK10">
        <v>13260</v>
      </c>
      <c r="AL10">
        <v>17052</v>
      </c>
      <c r="AM10">
        <v>5460</v>
      </c>
      <c r="AN10">
        <v>22512</v>
      </c>
      <c r="AR10">
        <v>3881.7840000000001</v>
      </c>
      <c r="AS10">
        <v>758.05949999999996</v>
      </c>
      <c r="AT10">
        <v>242.42359999999999</v>
      </c>
      <c r="AU10" t="s">
        <v>476</v>
      </c>
      <c r="AV10">
        <v>0</v>
      </c>
      <c r="AW10">
        <v>0</v>
      </c>
      <c r="AX10">
        <v>0</v>
      </c>
      <c r="AY10">
        <v>1</v>
      </c>
      <c r="AZ10">
        <v>758.05949999999996</v>
      </c>
      <c r="BA10">
        <v>0</v>
      </c>
      <c r="BB10">
        <v>0</v>
      </c>
      <c r="BE10">
        <v>780</v>
      </c>
      <c r="BF10">
        <v>1508.107</v>
      </c>
      <c r="BG10">
        <v>1894.4639999999999</v>
      </c>
      <c r="BH10">
        <v>260.10000000000002</v>
      </c>
      <c r="BI10">
        <v>507.23790000000002</v>
      </c>
      <c r="BJ10">
        <v>1987.32</v>
      </c>
      <c r="BK10">
        <v>0</v>
      </c>
      <c r="BL10">
        <v>0</v>
      </c>
      <c r="BM10">
        <v>0</v>
      </c>
      <c r="BN10">
        <v>0</v>
      </c>
      <c r="BO10">
        <v>0</v>
      </c>
      <c r="BP10">
        <v>0</v>
      </c>
      <c r="BQ10">
        <v>0</v>
      </c>
      <c r="BR10">
        <v>0</v>
      </c>
      <c r="BS10">
        <v>1092</v>
      </c>
      <c r="BT10">
        <v>3912.3609999999999</v>
      </c>
      <c r="BU10">
        <v>1200</v>
      </c>
      <c r="BV10">
        <v>4299.2979999999998</v>
      </c>
      <c r="BW10">
        <v>0</v>
      </c>
      <c r="BX10">
        <v>0</v>
      </c>
      <c r="BY10">
        <v>26</v>
      </c>
      <c r="BZ10">
        <v>6825</v>
      </c>
      <c r="CA10">
        <v>5460</v>
      </c>
      <c r="CB10">
        <v>15036.66</v>
      </c>
      <c r="CC10">
        <v>5460</v>
      </c>
      <c r="CD10">
        <v>0</v>
      </c>
      <c r="CE10">
        <v>0</v>
      </c>
      <c r="CF10">
        <v>0</v>
      </c>
      <c r="CL10" t="s">
        <v>477</v>
      </c>
      <c r="CM10">
        <v>0</v>
      </c>
      <c r="CN10">
        <v>0</v>
      </c>
      <c r="CQ10" t="s">
        <v>477</v>
      </c>
      <c r="CR10">
        <v>0</v>
      </c>
      <c r="CS10">
        <v>0</v>
      </c>
      <c r="CU10">
        <v>0</v>
      </c>
      <c r="CV10">
        <v>0</v>
      </c>
      <c r="CW10" t="s">
        <v>477</v>
      </c>
      <c r="CX10">
        <v>0</v>
      </c>
      <c r="CY10">
        <v>0</v>
      </c>
      <c r="CZ10">
        <v>0</v>
      </c>
      <c r="DA10" t="s">
        <v>477</v>
      </c>
      <c r="DB10">
        <v>0</v>
      </c>
      <c r="DC10">
        <v>0</v>
      </c>
      <c r="DN10">
        <v>0</v>
      </c>
      <c r="DO10">
        <v>0</v>
      </c>
    </row>
    <row r="11" spans="1:134">
      <c r="B11" t="s">
        <v>474</v>
      </c>
      <c r="C11">
        <v>3</v>
      </c>
      <c r="D11" t="s">
        <v>472</v>
      </c>
      <c r="E11">
        <v>1</v>
      </c>
      <c r="F11" t="s">
        <v>475</v>
      </c>
      <c r="G11">
        <v>8</v>
      </c>
      <c r="H11" t="s">
        <v>508</v>
      </c>
      <c r="I11">
        <v>0</v>
      </c>
      <c r="J11">
        <v>1</v>
      </c>
      <c r="K11" t="s">
        <v>478</v>
      </c>
      <c r="L11" t="s">
        <v>482</v>
      </c>
      <c r="Y11">
        <v>96</v>
      </c>
      <c r="Z11">
        <v>75</v>
      </c>
      <c r="AA11">
        <v>95.358000000000004</v>
      </c>
      <c r="AB11">
        <v>75</v>
      </c>
      <c r="AC11">
        <v>29</v>
      </c>
      <c r="AF11">
        <v>75</v>
      </c>
      <c r="AG11">
        <v>52</v>
      </c>
      <c r="AH11">
        <v>63.062869999999997</v>
      </c>
      <c r="AI11">
        <v>75</v>
      </c>
      <c r="AJ11">
        <v>530</v>
      </c>
      <c r="AK11">
        <v>9010</v>
      </c>
      <c r="AL11">
        <v>3899.7359999999999</v>
      </c>
      <c r="AM11">
        <v>0</v>
      </c>
      <c r="AN11">
        <v>3899.7359999999999</v>
      </c>
      <c r="AR11">
        <v>1287.2639999999999</v>
      </c>
      <c r="AS11">
        <v>318</v>
      </c>
      <c r="AT11">
        <v>80.391689999999997</v>
      </c>
      <c r="AU11" t="s">
        <v>476</v>
      </c>
      <c r="AV11">
        <v>0</v>
      </c>
      <c r="AW11">
        <v>0</v>
      </c>
      <c r="AX11">
        <v>0</v>
      </c>
      <c r="AY11">
        <v>1</v>
      </c>
      <c r="AZ11">
        <v>318</v>
      </c>
      <c r="BA11">
        <v>0</v>
      </c>
      <c r="BB11">
        <v>0</v>
      </c>
      <c r="BE11">
        <v>530</v>
      </c>
      <c r="BF11">
        <v>1051.451</v>
      </c>
      <c r="BG11">
        <v>1287.2639999999999</v>
      </c>
      <c r="BH11">
        <v>0</v>
      </c>
      <c r="BI11">
        <v>0</v>
      </c>
      <c r="BJ11">
        <v>0</v>
      </c>
      <c r="BK11">
        <v>0</v>
      </c>
      <c r="BL11">
        <v>0</v>
      </c>
      <c r="BM11">
        <v>0</v>
      </c>
      <c r="BN11">
        <v>0</v>
      </c>
      <c r="BO11">
        <v>0</v>
      </c>
      <c r="BP11">
        <v>0</v>
      </c>
      <c r="BQ11">
        <v>0</v>
      </c>
      <c r="BR11">
        <v>0</v>
      </c>
      <c r="BS11">
        <v>265</v>
      </c>
      <c r="BT11">
        <v>949.42819999999995</v>
      </c>
      <c r="BU11">
        <v>530</v>
      </c>
      <c r="BV11">
        <v>1898.856</v>
      </c>
      <c r="BW11">
        <v>0</v>
      </c>
      <c r="BX11">
        <v>0</v>
      </c>
      <c r="BY11">
        <v>0</v>
      </c>
      <c r="BZ11">
        <v>0</v>
      </c>
      <c r="CA11">
        <v>0</v>
      </c>
      <c r="CB11">
        <v>2848.2849999999999</v>
      </c>
      <c r="CC11">
        <v>0</v>
      </c>
      <c r="CD11">
        <v>0</v>
      </c>
      <c r="CE11">
        <v>0</v>
      </c>
      <c r="CF11">
        <v>0</v>
      </c>
      <c r="CL11" t="s">
        <v>477</v>
      </c>
      <c r="CM11">
        <v>0</v>
      </c>
      <c r="CN11">
        <v>0</v>
      </c>
      <c r="CQ11" t="s">
        <v>477</v>
      </c>
      <c r="CR11">
        <v>0</v>
      </c>
      <c r="CS11">
        <v>0</v>
      </c>
      <c r="CU11">
        <v>0</v>
      </c>
      <c r="CV11">
        <v>0</v>
      </c>
      <c r="CW11" t="s">
        <v>477</v>
      </c>
      <c r="CX11">
        <v>0</v>
      </c>
      <c r="CY11">
        <v>0</v>
      </c>
      <c r="CZ11">
        <v>0</v>
      </c>
      <c r="DA11" t="s">
        <v>477</v>
      </c>
      <c r="DB11">
        <v>0</v>
      </c>
      <c r="DC11">
        <v>0</v>
      </c>
      <c r="DN11">
        <v>0</v>
      </c>
      <c r="DO11">
        <v>0</v>
      </c>
    </row>
    <row r="12" spans="1:134">
      <c r="B12" t="s">
        <v>474</v>
      </c>
      <c r="C12">
        <v>3</v>
      </c>
      <c r="D12" t="s">
        <v>472</v>
      </c>
      <c r="E12">
        <v>1</v>
      </c>
      <c r="F12" t="s">
        <v>475</v>
      </c>
      <c r="G12">
        <v>9</v>
      </c>
      <c r="H12" t="s">
        <v>509</v>
      </c>
      <c r="I12">
        <v>0</v>
      </c>
      <c r="J12">
        <v>1</v>
      </c>
      <c r="K12" t="s">
        <v>478</v>
      </c>
      <c r="L12" t="s">
        <v>479</v>
      </c>
      <c r="Y12">
        <v>96</v>
      </c>
      <c r="Z12">
        <v>75</v>
      </c>
      <c r="AA12">
        <v>93.86</v>
      </c>
      <c r="AB12">
        <v>75</v>
      </c>
      <c r="AC12">
        <v>29</v>
      </c>
      <c r="AF12">
        <v>75</v>
      </c>
      <c r="AG12">
        <v>52</v>
      </c>
      <c r="AH12">
        <v>63.062869999999997</v>
      </c>
      <c r="AI12">
        <v>75</v>
      </c>
      <c r="AJ12">
        <v>780</v>
      </c>
      <c r="AK12">
        <v>13260</v>
      </c>
      <c r="AL12">
        <v>17681.5</v>
      </c>
      <c r="AM12">
        <v>5460</v>
      </c>
      <c r="AN12">
        <v>23141.5</v>
      </c>
      <c r="AR12">
        <v>4661.125</v>
      </c>
      <c r="AS12">
        <v>786.0444</v>
      </c>
      <c r="AT12">
        <v>291.09469999999999</v>
      </c>
      <c r="AU12" t="s">
        <v>476</v>
      </c>
      <c r="AV12">
        <v>0</v>
      </c>
      <c r="AW12">
        <v>0</v>
      </c>
      <c r="AX12">
        <v>0</v>
      </c>
      <c r="AY12">
        <v>1</v>
      </c>
      <c r="AZ12">
        <v>786.0444</v>
      </c>
      <c r="BA12">
        <v>0</v>
      </c>
      <c r="BB12">
        <v>0</v>
      </c>
      <c r="BE12">
        <v>780</v>
      </c>
      <c r="BF12">
        <v>1508.107</v>
      </c>
      <c r="BG12">
        <v>1894.4639999999999</v>
      </c>
      <c r="BH12">
        <v>362.1</v>
      </c>
      <c r="BI12">
        <v>1136.7370000000001</v>
      </c>
      <c r="BJ12">
        <v>2766.6610000000001</v>
      </c>
      <c r="BK12">
        <v>0</v>
      </c>
      <c r="BL12">
        <v>0</v>
      </c>
      <c r="BM12">
        <v>0</v>
      </c>
      <c r="BN12">
        <v>0</v>
      </c>
      <c r="BO12">
        <v>0</v>
      </c>
      <c r="BP12">
        <v>0</v>
      </c>
      <c r="BQ12">
        <v>0</v>
      </c>
      <c r="BR12">
        <v>0</v>
      </c>
      <c r="BS12">
        <v>1092</v>
      </c>
      <c r="BT12">
        <v>3912.3609999999999</v>
      </c>
      <c r="BU12">
        <v>1200</v>
      </c>
      <c r="BV12">
        <v>4299.2979999999998</v>
      </c>
      <c r="BW12">
        <v>0</v>
      </c>
      <c r="BX12">
        <v>0</v>
      </c>
      <c r="BY12">
        <v>26</v>
      </c>
      <c r="BZ12">
        <v>6825</v>
      </c>
      <c r="CA12">
        <v>5460</v>
      </c>
      <c r="CB12">
        <v>15036.66</v>
      </c>
      <c r="CC12">
        <v>5460</v>
      </c>
      <c r="CD12">
        <v>0</v>
      </c>
      <c r="CE12">
        <v>0</v>
      </c>
      <c r="CF12">
        <v>0</v>
      </c>
      <c r="CL12" t="s">
        <v>477</v>
      </c>
      <c r="CM12">
        <v>0</v>
      </c>
      <c r="CN12">
        <v>0</v>
      </c>
      <c r="CQ12" t="s">
        <v>477</v>
      </c>
      <c r="CR12">
        <v>0</v>
      </c>
      <c r="CS12">
        <v>0</v>
      </c>
      <c r="CU12">
        <v>0</v>
      </c>
      <c r="CV12">
        <v>0</v>
      </c>
      <c r="CW12" t="s">
        <v>477</v>
      </c>
      <c r="CX12">
        <v>0</v>
      </c>
      <c r="CY12">
        <v>0</v>
      </c>
      <c r="CZ12">
        <v>0</v>
      </c>
      <c r="DA12" t="s">
        <v>477</v>
      </c>
      <c r="DB12">
        <v>0</v>
      </c>
      <c r="DC12">
        <v>0</v>
      </c>
      <c r="DN12">
        <v>0</v>
      </c>
      <c r="DO12">
        <v>0</v>
      </c>
    </row>
    <row r="13" spans="1:134">
      <c r="B13" t="s">
        <v>474</v>
      </c>
      <c r="C13">
        <v>3</v>
      </c>
      <c r="D13" t="s">
        <v>472</v>
      </c>
      <c r="E13">
        <v>1</v>
      </c>
      <c r="F13" t="s">
        <v>475</v>
      </c>
      <c r="G13">
        <v>10</v>
      </c>
      <c r="H13" t="s">
        <v>510</v>
      </c>
      <c r="I13">
        <v>0</v>
      </c>
      <c r="J13">
        <v>1</v>
      </c>
      <c r="K13" t="s">
        <v>478</v>
      </c>
      <c r="L13" t="s">
        <v>482</v>
      </c>
      <c r="Y13">
        <v>96</v>
      </c>
      <c r="Z13">
        <v>75</v>
      </c>
      <c r="AA13">
        <v>95.358000000000004</v>
      </c>
      <c r="AB13">
        <v>75</v>
      </c>
      <c r="AC13">
        <v>29</v>
      </c>
      <c r="AF13">
        <v>75</v>
      </c>
      <c r="AG13">
        <v>52</v>
      </c>
      <c r="AH13">
        <v>63.062869999999997</v>
      </c>
      <c r="AI13">
        <v>75</v>
      </c>
      <c r="AJ13">
        <v>218</v>
      </c>
      <c r="AK13">
        <v>3706</v>
      </c>
      <c r="AL13">
        <v>3918.9949999999999</v>
      </c>
      <c r="AM13">
        <v>1050</v>
      </c>
      <c r="AN13">
        <v>4968.9949999999999</v>
      </c>
      <c r="AR13">
        <v>529.47839999999997</v>
      </c>
      <c r="AS13">
        <v>174.22190000000001</v>
      </c>
      <c r="AT13">
        <v>33.066769999999998</v>
      </c>
      <c r="AU13" t="s">
        <v>476</v>
      </c>
      <c r="AV13">
        <v>0</v>
      </c>
      <c r="AW13">
        <v>0</v>
      </c>
      <c r="AX13">
        <v>0</v>
      </c>
      <c r="AY13">
        <v>1</v>
      </c>
      <c r="AZ13">
        <v>174.22190000000001</v>
      </c>
      <c r="BA13">
        <v>0</v>
      </c>
      <c r="BB13">
        <v>0</v>
      </c>
      <c r="BE13">
        <v>218</v>
      </c>
      <c r="BF13">
        <v>432.48360000000002</v>
      </c>
      <c r="BG13">
        <v>529.47839999999997</v>
      </c>
      <c r="BH13">
        <v>0</v>
      </c>
      <c r="BI13">
        <v>0</v>
      </c>
      <c r="BJ13">
        <v>0</v>
      </c>
      <c r="BK13">
        <v>0</v>
      </c>
      <c r="BL13">
        <v>0</v>
      </c>
      <c r="BM13">
        <v>0</v>
      </c>
      <c r="BN13">
        <v>0</v>
      </c>
      <c r="BO13">
        <v>0</v>
      </c>
      <c r="BP13">
        <v>0</v>
      </c>
      <c r="BQ13">
        <v>0</v>
      </c>
      <c r="BR13">
        <v>0</v>
      </c>
      <c r="BS13">
        <v>240</v>
      </c>
      <c r="BT13">
        <v>859.14300000000003</v>
      </c>
      <c r="BU13">
        <v>367</v>
      </c>
      <c r="BV13">
        <v>1314.8679999999999</v>
      </c>
      <c r="BW13">
        <v>0</v>
      </c>
      <c r="BX13">
        <v>0</v>
      </c>
      <c r="BY13">
        <v>5</v>
      </c>
      <c r="BZ13">
        <v>1312.5</v>
      </c>
      <c r="CA13">
        <v>1050</v>
      </c>
      <c r="CB13">
        <v>3486.511</v>
      </c>
      <c r="CC13">
        <v>1050</v>
      </c>
      <c r="CD13">
        <v>0</v>
      </c>
      <c r="CE13">
        <v>0</v>
      </c>
      <c r="CF13">
        <v>0</v>
      </c>
      <c r="CL13" t="s">
        <v>477</v>
      </c>
      <c r="CM13">
        <v>0</v>
      </c>
      <c r="CN13">
        <v>0</v>
      </c>
      <c r="CQ13" t="s">
        <v>477</v>
      </c>
      <c r="CR13">
        <v>0</v>
      </c>
      <c r="CS13">
        <v>0</v>
      </c>
      <c r="CU13">
        <v>0</v>
      </c>
      <c r="CV13">
        <v>0</v>
      </c>
      <c r="CW13" t="s">
        <v>477</v>
      </c>
      <c r="CX13">
        <v>0</v>
      </c>
      <c r="CY13">
        <v>0</v>
      </c>
      <c r="CZ13">
        <v>0</v>
      </c>
      <c r="DA13" t="s">
        <v>477</v>
      </c>
      <c r="DB13">
        <v>0</v>
      </c>
      <c r="DC13">
        <v>0</v>
      </c>
      <c r="DN13">
        <v>0</v>
      </c>
      <c r="DO13">
        <v>0</v>
      </c>
    </row>
    <row r="14" spans="1:134">
      <c r="B14" t="s">
        <v>474</v>
      </c>
      <c r="C14">
        <v>3</v>
      </c>
      <c r="D14" t="s">
        <v>472</v>
      </c>
      <c r="E14">
        <v>1</v>
      </c>
      <c r="F14" t="s">
        <v>475</v>
      </c>
      <c r="G14">
        <v>11</v>
      </c>
      <c r="H14" t="s">
        <v>511</v>
      </c>
      <c r="I14">
        <v>0</v>
      </c>
      <c r="J14">
        <v>1</v>
      </c>
      <c r="K14" t="s">
        <v>478</v>
      </c>
      <c r="L14" t="s">
        <v>482</v>
      </c>
      <c r="Y14">
        <v>96</v>
      </c>
      <c r="Z14">
        <v>75</v>
      </c>
      <c r="AA14">
        <v>95.358000000000004</v>
      </c>
      <c r="AB14">
        <v>75</v>
      </c>
      <c r="AC14">
        <v>29</v>
      </c>
      <c r="AF14">
        <v>75</v>
      </c>
      <c r="AG14">
        <v>52</v>
      </c>
      <c r="AH14">
        <v>63.062869999999997</v>
      </c>
      <c r="AI14">
        <v>75</v>
      </c>
      <c r="AJ14">
        <v>330</v>
      </c>
      <c r="AK14">
        <v>5610</v>
      </c>
      <c r="AL14">
        <v>3270.0830000000001</v>
      </c>
      <c r="AM14">
        <v>0</v>
      </c>
      <c r="AN14">
        <v>3270.0830000000001</v>
      </c>
      <c r="AR14">
        <v>801.50400000000002</v>
      </c>
      <c r="AS14">
        <v>145.374</v>
      </c>
      <c r="AT14">
        <v>50.055199999999999</v>
      </c>
      <c r="AU14" t="s">
        <v>476</v>
      </c>
      <c r="AV14">
        <v>0</v>
      </c>
      <c r="AW14">
        <v>0</v>
      </c>
      <c r="AX14">
        <v>0</v>
      </c>
      <c r="AY14">
        <v>1</v>
      </c>
      <c r="AZ14">
        <v>145.374</v>
      </c>
      <c r="BA14">
        <v>0</v>
      </c>
      <c r="BB14">
        <v>0</v>
      </c>
      <c r="BE14">
        <v>330</v>
      </c>
      <c r="BF14">
        <v>654.6771</v>
      </c>
      <c r="BG14">
        <v>801.50400000000002</v>
      </c>
      <c r="BH14">
        <v>0</v>
      </c>
      <c r="BI14">
        <v>0</v>
      </c>
      <c r="BJ14">
        <v>0</v>
      </c>
      <c r="BK14">
        <v>0</v>
      </c>
      <c r="BL14">
        <v>0</v>
      </c>
      <c r="BM14">
        <v>0</v>
      </c>
      <c r="BN14">
        <v>0</v>
      </c>
      <c r="BO14">
        <v>0</v>
      </c>
      <c r="BP14">
        <v>0</v>
      </c>
      <c r="BQ14">
        <v>0</v>
      </c>
      <c r="BR14">
        <v>0</v>
      </c>
      <c r="BS14">
        <v>363</v>
      </c>
      <c r="BT14">
        <v>1300.537</v>
      </c>
      <c r="BU14">
        <v>367</v>
      </c>
      <c r="BV14">
        <v>1314.8679999999999</v>
      </c>
      <c r="BW14">
        <v>0</v>
      </c>
      <c r="BX14">
        <v>0</v>
      </c>
      <c r="BY14">
        <v>0</v>
      </c>
      <c r="BZ14">
        <v>0</v>
      </c>
      <c r="CA14">
        <v>0</v>
      </c>
      <c r="CB14">
        <v>2615.4059999999999</v>
      </c>
      <c r="CC14">
        <v>0</v>
      </c>
      <c r="CD14">
        <v>0</v>
      </c>
      <c r="CE14">
        <v>0</v>
      </c>
      <c r="CF14">
        <v>0</v>
      </c>
      <c r="CL14" t="s">
        <v>477</v>
      </c>
      <c r="CM14">
        <v>0</v>
      </c>
      <c r="CN14">
        <v>0</v>
      </c>
      <c r="CQ14" t="s">
        <v>477</v>
      </c>
      <c r="CR14">
        <v>0</v>
      </c>
      <c r="CS14">
        <v>0</v>
      </c>
      <c r="CU14">
        <v>0</v>
      </c>
      <c r="CV14">
        <v>0</v>
      </c>
      <c r="CW14" t="s">
        <v>477</v>
      </c>
      <c r="CX14">
        <v>0</v>
      </c>
      <c r="CY14">
        <v>0</v>
      </c>
      <c r="CZ14">
        <v>0</v>
      </c>
      <c r="DA14" t="s">
        <v>477</v>
      </c>
      <c r="DB14">
        <v>0</v>
      </c>
      <c r="DC14">
        <v>0</v>
      </c>
      <c r="DN14">
        <v>0</v>
      </c>
      <c r="DO14">
        <v>0</v>
      </c>
    </row>
    <row r="15" spans="1:134">
      <c r="B15" t="s">
        <v>474</v>
      </c>
      <c r="C15">
        <v>3</v>
      </c>
      <c r="D15" t="s">
        <v>472</v>
      </c>
      <c r="E15">
        <v>1</v>
      </c>
      <c r="F15" t="s">
        <v>475</v>
      </c>
      <c r="G15">
        <v>12</v>
      </c>
      <c r="H15" t="s">
        <v>512</v>
      </c>
      <c r="I15">
        <v>0</v>
      </c>
      <c r="J15">
        <v>1</v>
      </c>
      <c r="K15" t="s">
        <v>478</v>
      </c>
      <c r="L15" t="s">
        <v>482</v>
      </c>
      <c r="Y15">
        <v>96</v>
      </c>
      <c r="Z15">
        <v>75</v>
      </c>
      <c r="AA15">
        <v>95.358000000000004</v>
      </c>
      <c r="AB15">
        <v>75</v>
      </c>
      <c r="AC15">
        <v>29</v>
      </c>
      <c r="AF15">
        <v>75</v>
      </c>
      <c r="AG15">
        <v>52</v>
      </c>
      <c r="AH15">
        <v>63.062869999999997</v>
      </c>
      <c r="AI15">
        <v>75</v>
      </c>
      <c r="AJ15">
        <v>60</v>
      </c>
      <c r="AK15">
        <v>1020</v>
      </c>
      <c r="AL15">
        <v>789.96550000000002</v>
      </c>
      <c r="AM15">
        <v>210</v>
      </c>
      <c r="AN15">
        <v>999.96550000000002</v>
      </c>
      <c r="AR15">
        <v>145.72800000000001</v>
      </c>
      <c r="AS15">
        <v>50</v>
      </c>
      <c r="AT15">
        <v>9.1009449999999994</v>
      </c>
      <c r="AU15" t="s">
        <v>476</v>
      </c>
      <c r="AV15">
        <v>0</v>
      </c>
      <c r="AW15">
        <v>0</v>
      </c>
      <c r="AX15">
        <v>0</v>
      </c>
      <c r="AY15">
        <v>1</v>
      </c>
      <c r="AZ15">
        <v>50</v>
      </c>
      <c r="BA15">
        <v>0</v>
      </c>
      <c r="BB15">
        <v>0</v>
      </c>
      <c r="BE15">
        <v>60</v>
      </c>
      <c r="BF15">
        <v>119.0322</v>
      </c>
      <c r="BG15">
        <v>145.72800000000001</v>
      </c>
      <c r="BH15">
        <v>0</v>
      </c>
      <c r="BI15">
        <v>0</v>
      </c>
      <c r="BJ15">
        <v>0</v>
      </c>
      <c r="BK15">
        <v>0</v>
      </c>
      <c r="BL15">
        <v>0</v>
      </c>
      <c r="BM15">
        <v>0</v>
      </c>
      <c r="BN15">
        <v>0</v>
      </c>
      <c r="BO15">
        <v>0</v>
      </c>
      <c r="BP15">
        <v>0</v>
      </c>
      <c r="BQ15">
        <v>0</v>
      </c>
      <c r="BR15">
        <v>0</v>
      </c>
      <c r="BS15">
        <v>54</v>
      </c>
      <c r="BT15">
        <v>193.4684</v>
      </c>
      <c r="BU15">
        <v>60</v>
      </c>
      <c r="BV15">
        <v>214.9649</v>
      </c>
      <c r="BW15">
        <v>0</v>
      </c>
      <c r="BX15">
        <v>0</v>
      </c>
      <c r="BY15">
        <v>1</v>
      </c>
      <c r="BZ15">
        <v>262.5</v>
      </c>
      <c r="CA15">
        <v>210</v>
      </c>
      <c r="CB15">
        <v>670.93330000000003</v>
      </c>
      <c r="CC15">
        <v>210</v>
      </c>
      <c r="CD15">
        <v>0</v>
      </c>
      <c r="CE15">
        <v>0</v>
      </c>
      <c r="CF15">
        <v>0</v>
      </c>
      <c r="CL15" t="s">
        <v>477</v>
      </c>
      <c r="CM15">
        <v>0</v>
      </c>
      <c r="CN15">
        <v>0</v>
      </c>
      <c r="CQ15" t="s">
        <v>477</v>
      </c>
      <c r="CR15">
        <v>0</v>
      </c>
      <c r="CS15">
        <v>0</v>
      </c>
      <c r="CU15">
        <v>0</v>
      </c>
      <c r="CV15">
        <v>0</v>
      </c>
      <c r="CW15" t="s">
        <v>477</v>
      </c>
      <c r="CX15">
        <v>0</v>
      </c>
      <c r="CY15">
        <v>0</v>
      </c>
      <c r="CZ15">
        <v>0</v>
      </c>
      <c r="DA15" t="s">
        <v>477</v>
      </c>
      <c r="DB15">
        <v>0</v>
      </c>
      <c r="DC15">
        <v>0</v>
      </c>
      <c r="DN15">
        <v>0</v>
      </c>
      <c r="DO15">
        <v>0</v>
      </c>
    </row>
    <row r="16" spans="1:134">
      <c r="B16" t="s">
        <v>474</v>
      </c>
      <c r="C16">
        <v>3</v>
      </c>
      <c r="D16" t="s">
        <v>472</v>
      </c>
      <c r="E16">
        <v>1</v>
      </c>
      <c r="F16" t="s">
        <v>475</v>
      </c>
      <c r="G16">
        <v>13</v>
      </c>
      <c r="H16" t="s">
        <v>513</v>
      </c>
      <c r="I16">
        <v>0</v>
      </c>
      <c r="J16">
        <v>1</v>
      </c>
      <c r="K16" t="s">
        <v>478</v>
      </c>
      <c r="L16" t="s">
        <v>482</v>
      </c>
      <c r="Y16">
        <v>96</v>
      </c>
      <c r="Z16">
        <v>75</v>
      </c>
      <c r="AA16">
        <v>95.358000000000004</v>
      </c>
      <c r="AB16">
        <v>75</v>
      </c>
      <c r="AC16">
        <v>29</v>
      </c>
      <c r="AF16">
        <v>75</v>
      </c>
      <c r="AG16">
        <v>52</v>
      </c>
      <c r="AH16">
        <v>63.062869999999997</v>
      </c>
      <c r="AI16">
        <v>75</v>
      </c>
      <c r="AJ16">
        <v>161</v>
      </c>
      <c r="AK16">
        <v>2737</v>
      </c>
      <c r="AL16">
        <v>1357.683</v>
      </c>
      <c r="AM16">
        <v>0</v>
      </c>
      <c r="AN16">
        <v>1357.683</v>
      </c>
      <c r="AR16">
        <v>391.03680000000003</v>
      </c>
      <c r="AS16">
        <v>112.7</v>
      </c>
      <c r="AT16">
        <v>24.420870000000001</v>
      </c>
      <c r="AU16" t="s">
        <v>476</v>
      </c>
      <c r="AV16">
        <v>0</v>
      </c>
      <c r="AW16">
        <v>0</v>
      </c>
      <c r="AX16">
        <v>0</v>
      </c>
      <c r="AY16">
        <v>1</v>
      </c>
      <c r="AZ16">
        <v>112.7</v>
      </c>
      <c r="BA16">
        <v>0</v>
      </c>
      <c r="BB16">
        <v>0</v>
      </c>
      <c r="BE16">
        <v>161</v>
      </c>
      <c r="BF16">
        <v>319.40300000000002</v>
      </c>
      <c r="BG16">
        <v>391.03680000000003</v>
      </c>
      <c r="BH16">
        <v>0</v>
      </c>
      <c r="BI16">
        <v>0</v>
      </c>
      <c r="BJ16">
        <v>0</v>
      </c>
      <c r="BK16">
        <v>0</v>
      </c>
      <c r="BL16">
        <v>0</v>
      </c>
      <c r="BM16">
        <v>0</v>
      </c>
      <c r="BN16">
        <v>0</v>
      </c>
      <c r="BO16">
        <v>0</v>
      </c>
      <c r="BP16">
        <v>0</v>
      </c>
      <c r="BQ16">
        <v>0</v>
      </c>
      <c r="BR16">
        <v>0</v>
      </c>
      <c r="BS16">
        <v>129</v>
      </c>
      <c r="BT16">
        <v>461.45800000000003</v>
      </c>
      <c r="BU16">
        <v>161</v>
      </c>
      <c r="BV16">
        <v>576.82240000000002</v>
      </c>
      <c r="BW16">
        <v>0</v>
      </c>
      <c r="BX16">
        <v>0</v>
      </c>
      <c r="BY16">
        <v>0</v>
      </c>
      <c r="BZ16">
        <v>0</v>
      </c>
      <c r="CA16">
        <v>0</v>
      </c>
      <c r="CB16">
        <v>1038.28</v>
      </c>
      <c r="CC16">
        <v>0</v>
      </c>
      <c r="CD16">
        <v>0</v>
      </c>
      <c r="CE16">
        <v>0</v>
      </c>
      <c r="CF16">
        <v>0</v>
      </c>
      <c r="CL16" t="s">
        <v>477</v>
      </c>
      <c r="CM16">
        <v>0</v>
      </c>
      <c r="CN16">
        <v>0</v>
      </c>
      <c r="CQ16" t="s">
        <v>477</v>
      </c>
      <c r="CR16">
        <v>0</v>
      </c>
      <c r="CS16">
        <v>0</v>
      </c>
      <c r="CU16">
        <v>0</v>
      </c>
      <c r="CV16">
        <v>0</v>
      </c>
      <c r="CW16" t="s">
        <v>477</v>
      </c>
      <c r="CX16">
        <v>0</v>
      </c>
      <c r="CY16">
        <v>0</v>
      </c>
      <c r="CZ16">
        <v>0</v>
      </c>
      <c r="DA16" t="s">
        <v>477</v>
      </c>
      <c r="DB16">
        <v>0</v>
      </c>
      <c r="DC16">
        <v>0</v>
      </c>
      <c r="DN16">
        <v>0</v>
      </c>
      <c r="DO16">
        <v>0</v>
      </c>
    </row>
    <row r="17" spans="2:133">
      <c r="B17" t="s">
        <v>474</v>
      </c>
      <c r="C17">
        <v>3</v>
      </c>
      <c r="D17" t="s">
        <v>472</v>
      </c>
      <c r="E17">
        <v>1</v>
      </c>
      <c r="F17" t="s">
        <v>475</v>
      </c>
      <c r="G17">
        <v>14</v>
      </c>
      <c r="H17" t="s">
        <v>514</v>
      </c>
      <c r="I17">
        <v>0</v>
      </c>
      <c r="J17">
        <v>1</v>
      </c>
      <c r="K17" t="s">
        <v>478</v>
      </c>
      <c r="L17" t="s">
        <v>482</v>
      </c>
      <c r="Y17">
        <v>96</v>
      </c>
      <c r="Z17">
        <v>75</v>
      </c>
      <c r="AA17">
        <v>95.358000000000004</v>
      </c>
      <c r="AB17">
        <v>75</v>
      </c>
      <c r="AC17">
        <v>29</v>
      </c>
      <c r="AF17">
        <v>75</v>
      </c>
      <c r="AG17">
        <v>52</v>
      </c>
      <c r="AH17">
        <v>63.062869999999997</v>
      </c>
      <c r="AI17">
        <v>75</v>
      </c>
      <c r="AJ17">
        <v>240</v>
      </c>
      <c r="AK17">
        <v>4080</v>
      </c>
      <c r="AL17">
        <v>3503.8049999999998</v>
      </c>
      <c r="AM17">
        <v>839.99990000000003</v>
      </c>
      <c r="AN17">
        <v>4343.8050000000003</v>
      </c>
      <c r="AR17">
        <v>582.91200000000003</v>
      </c>
      <c r="AS17">
        <v>155.76429999999999</v>
      </c>
      <c r="AT17">
        <v>36.403779999999998</v>
      </c>
      <c r="AU17" t="s">
        <v>476</v>
      </c>
      <c r="AV17">
        <v>0</v>
      </c>
      <c r="AW17">
        <v>0</v>
      </c>
      <c r="AX17">
        <v>0</v>
      </c>
      <c r="AY17">
        <v>1</v>
      </c>
      <c r="AZ17">
        <v>155.76429999999999</v>
      </c>
      <c r="BA17">
        <v>0</v>
      </c>
      <c r="BB17">
        <v>0</v>
      </c>
      <c r="BE17">
        <v>240</v>
      </c>
      <c r="BF17">
        <v>476.12880000000001</v>
      </c>
      <c r="BG17">
        <v>582.91200000000003</v>
      </c>
      <c r="BH17">
        <v>0</v>
      </c>
      <c r="BI17">
        <v>0</v>
      </c>
      <c r="BJ17">
        <v>0</v>
      </c>
      <c r="BK17">
        <v>0</v>
      </c>
      <c r="BL17">
        <v>0</v>
      </c>
      <c r="BM17">
        <v>0</v>
      </c>
      <c r="BN17">
        <v>0</v>
      </c>
      <c r="BO17">
        <v>0</v>
      </c>
      <c r="BP17">
        <v>0</v>
      </c>
      <c r="BQ17">
        <v>0</v>
      </c>
      <c r="BR17">
        <v>0</v>
      </c>
      <c r="BS17">
        <v>312</v>
      </c>
      <c r="BT17">
        <v>1117.817</v>
      </c>
      <c r="BU17">
        <v>240</v>
      </c>
      <c r="BV17">
        <v>859.8596</v>
      </c>
      <c r="BW17">
        <v>0</v>
      </c>
      <c r="BX17">
        <v>0</v>
      </c>
      <c r="BY17">
        <v>4</v>
      </c>
      <c r="BZ17">
        <v>1050</v>
      </c>
      <c r="CA17">
        <v>839.99990000000003</v>
      </c>
      <c r="CB17">
        <v>3027.6770000000001</v>
      </c>
      <c r="CC17">
        <v>839.99990000000003</v>
      </c>
      <c r="CD17">
        <v>0</v>
      </c>
      <c r="CE17">
        <v>0</v>
      </c>
      <c r="CF17">
        <v>0</v>
      </c>
      <c r="CL17" t="s">
        <v>477</v>
      </c>
      <c r="CM17">
        <v>0</v>
      </c>
      <c r="CN17">
        <v>0</v>
      </c>
      <c r="CQ17" t="s">
        <v>477</v>
      </c>
      <c r="CR17">
        <v>0</v>
      </c>
      <c r="CS17">
        <v>0</v>
      </c>
      <c r="CU17">
        <v>0</v>
      </c>
      <c r="CV17">
        <v>0</v>
      </c>
      <c r="CW17" t="s">
        <v>477</v>
      </c>
      <c r="CX17">
        <v>0</v>
      </c>
      <c r="CY17">
        <v>0</v>
      </c>
      <c r="CZ17">
        <v>0</v>
      </c>
      <c r="DA17" t="s">
        <v>477</v>
      </c>
      <c r="DB17">
        <v>0</v>
      </c>
      <c r="DC17">
        <v>0</v>
      </c>
      <c r="DN17">
        <v>0</v>
      </c>
      <c r="DO17">
        <v>0</v>
      </c>
    </row>
    <row r="18" spans="2:133">
      <c r="B18" t="s">
        <v>474</v>
      </c>
      <c r="C18">
        <v>3</v>
      </c>
      <c r="D18" t="s">
        <v>472</v>
      </c>
      <c r="E18">
        <v>1</v>
      </c>
      <c r="F18" t="s">
        <v>475</v>
      </c>
      <c r="G18">
        <v>15</v>
      </c>
      <c r="H18" t="s">
        <v>515</v>
      </c>
      <c r="I18">
        <v>0</v>
      </c>
      <c r="J18">
        <v>1</v>
      </c>
      <c r="K18" t="s">
        <v>478</v>
      </c>
      <c r="L18" t="s">
        <v>482</v>
      </c>
      <c r="Y18">
        <v>96</v>
      </c>
      <c r="Z18">
        <v>75</v>
      </c>
      <c r="AA18">
        <v>95.358000000000004</v>
      </c>
      <c r="AB18">
        <v>75</v>
      </c>
      <c r="AC18">
        <v>29</v>
      </c>
      <c r="AF18">
        <v>75</v>
      </c>
      <c r="AG18">
        <v>52</v>
      </c>
      <c r="AH18">
        <v>63.062869999999997</v>
      </c>
      <c r="AI18">
        <v>75</v>
      </c>
      <c r="AJ18">
        <v>133</v>
      </c>
      <c r="AK18">
        <v>2261</v>
      </c>
      <c r="AL18">
        <v>2219.2150000000001</v>
      </c>
      <c r="AM18">
        <v>839.99990000000003</v>
      </c>
      <c r="AN18">
        <v>3059.2150000000001</v>
      </c>
      <c r="AR18">
        <v>323.03039999999999</v>
      </c>
      <c r="AS18">
        <v>98.656859999999995</v>
      </c>
      <c r="AT18">
        <v>20.173760000000001</v>
      </c>
      <c r="AU18" t="s">
        <v>476</v>
      </c>
      <c r="AV18">
        <v>0</v>
      </c>
      <c r="AW18">
        <v>0</v>
      </c>
      <c r="AX18">
        <v>0</v>
      </c>
      <c r="AY18">
        <v>1</v>
      </c>
      <c r="AZ18">
        <v>98.656859999999995</v>
      </c>
      <c r="BA18">
        <v>0</v>
      </c>
      <c r="BB18">
        <v>0</v>
      </c>
      <c r="BE18">
        <v>133</v>
      </c>
      <c r="BF18">
        <v>263.85469999999998</v>
      </c>
      <c r="BG18">
        <v>323.03039999999999</v>
      </c>
      <c r="BH18">
        <v>0</v>
      </c>
      <c r="BI18">
        <v>0</v>
      </c>
      <c r="BJ18">
        <v>0</v>
      </c>
      <c r="BK18">
        <v>0</v>
      </c>
      <c r="BL18">
        <v>0</v>
      </c>
      <c r="BM18">
        <v>0</v>
      </c>
      <c r="BN18">
        <v>0</v>
      </c>
      <c r="BO18">
        <v>0</v>
      </c>
      <c r="BP18">
        <v>0</v>
      </c>
      <c r="BQ18">
        <v>0</v>
      </c>
      <c r="BR18">
        <v>0</v>
      </c>
      <c r="BS18">
        <v>120</v>
      </c>
      <c r="BT18">
        <v>428.85489999999999</v>
      </c>
      <c r="BU18">
        <v>133</v>
      </c>
      <c r="BV18">
        <v>476.50549999999998</v>
      </c>
      <c r="BW18">
        <v>0</v>
      </c>
      <c r="BX18">
        <v>0</v>
      </c>
      <c r="BY18">
        <v>4</v>
      </c>
      <c r="BZ18">
        <v>1050</v>
      </c>
      <c r="CA18">
        <v>839.99990000000003</v>
      </c>
      <c r="CB18">
        <v>1955.36</v>
      </c>
      <c r="CC18">
        <v>839.99990000000003</v>
      </c>
      <c r="CD18">
        <v>0</v>
      </c>
      <c r="CE18">
        <v>0</v>
      </c>
      <c r="CF18">
        <v>0</v>
      </c>
      <c r="CL18" t="s">
        <v>477</v>
      </c>
      <c r="CM18">
        <v>0</v>
      </c>
      <c r="CN18">
        <v>0</v>
      </c>
      <c r="CQ18" t="s">
        <v>477</v>
      </c>
      <c r="CR18">
        <v>0</v>
      </c>
      <c r="CS18">
        <v>0</v>
      </c>
      <c r="CU18">
        <v>0</v>
      </c>
      <c r="CV18">
        <v>0</v>
      </c>
      <c r="CW18" t="s">
        <v>477</v>
      </c>
      <c r="CX18">
        <v>0</v>
      </c>
      <c r="CY18">
        <v>0</v>
      </c>
      <c r="CZ18">
        <v>0</v>
      </c>
      <c r="DA18" t="s">
        <v>477</v>
      </c>
      <c r="DB18">
        <v>0</v>
      </c>
      <c r="DC18">
        <v>0</v>
      </c>
      <c r="DN18">
        <v>0</v>
      </c>
      <c r="DO18">
        <v>0</v>
      </c>
    </row>
    <row r="19" spans="2:133">
      <c r="B19" t="s">
        <v>474</v>
      </c>
      <c r="C19">
        <v>3</v>
      </c>
      <c r="D19" t="s">
        <v>472</v>
      </c>
      <c r="E19">
        <v>1</v>
      </c>
      <c r="F19" t="s">
        <v>475</v>
      </c>
      <c r="G19">
        <v>16</v>
      </c>
      <c r="H19" t="s">
        <v>516</v>
      </c>
      <c r="I19">
        <v>0</v>
      </c>
      <c r="J19">
        <v>1</v>
      </c>
      <c r="K19" t="s">
        <v>478</v>
      </c>
      <c r="L19" t="s">
        <v>482</v>
      </c>
      <c r="Y19">
        <v>96</v>
      </c>
      <c r="Z19">
        <v>75</v>
      </c>
      <c r="AA19">
        <v>95.358000000000004</v>
      </c>
      <c r="AB19">
        <v>75</v>
      </c>
      <c r="AC19">
        <v>29</v>
      </c>
      <c r="AF19">
        <v>75</v>
      </c>
      <c r="AG19">
        <v>52</v>
      </c>
      <c r="AH19">
        <v>63.062869999999997</v>
      </c>
      <c r="AI19">
        <v>75</v>
      </c>
      <c r="AJ19">
        <v>133</v>
      </c>
      <c r="AK19">
        <v>2261</v>
      </c>
      <c r="AL19">
        <v>2219.2150000000001</v>
      </c>
      <c r="AM19">
        <v>839.99990000000003</v>
      </c>
      <c r="AN19">
        <v>3059.2150000000001</v>
      </c>
      <c r="AR19">
        <v>323.03039999999999</v>
      </c>
      <c r="AS19">
        <v>98.656859999999995</v>
      </c>
      <c r="AT19">
        <v>20.173760000000001</v>
      </c>
      <c r="AU19" t="s">
        <v>476</v>
      </c>
      <c r="AV19">
        <v>0</v>
      </c>
      <c r="AW19">
        <v>0</v>
      </c>
      <c r="AX19">
        <v>0</v>
      </c>
      <c r="AY19">
        <v>1</v>
      </c>
      <c r="AZ19">
        <v>98.656859999999995</v>
      </c>
      <c r="BA19">
        <v>0</v>
      </c>
      <c r="BB19">
        <v>0</v>
      </c>
      <c r="BE19">
        <v>133</v>
      </c>
      <c r="BF19">
        <v>263.85469999999998</v>
      </c>
      <c r="BG19">
        <v>323.03039999999999</v>
      </c>
      <c r="BH19">
        <v>0</v>
      </c>
      <c r="BI19">
        <v>0</v>
      </c>
      <c r="BJ19">
        <v>0</v>
      </c>
      <c r="BK19">
        <v>0</v>
      </c>
      <c r="BL19">
        <v>0</v>
      </c>
      <c r="BM19">
        <v>0</v>
      </c>
      <c r="BN19">
        <v>0</v>
      </c>
      <c r="BO19">
        <v>0</v>
      </c>
      <c r="BP19">
        <v>0</v>
      </c>
      <c r="BQ19">
        <v>0</v>
      </c>
      <c r="BR19">
        <v>0</v>
      </c>
      <c r="BS19">
        <v>120</v>
      </c>
      <c r="BT19">
        <v>428.85489999999999</v>
      </c>
      <c r="BU19">
        <v>133</v>
      </c>
      <c r="BV19">
        <v>476.50549999999998</v>
      </c>
      <c r="BW19">
        <v>0</v>
      </c>
      <c r="BX19">
        <v>0</v>
      </c>
      <c r="BY19">
        <v>4</v>
      </c>
      <c r="BZ19">
        <v>1050</v>
      </c>
      <c r="CA19">
        <v>839.99990000000003</v>
      </c>
      <c r="CB19">
        <v>1955.36</v>
      </c>
      <c r="CC19">
        <v>839.99990000000003</v>
      </c>
      <c r="CD19">
        <v>0</v>
      </c>
      <c r="CE19">
        <v>0</v>
      </c>
      <c r="CF19">
        <v>0</v>
      </c>
      <c r="CL19" t="s">
        <v>477</v>
      </c>
      <c r="CM19">
        <v>0</v>
      </c>
      <c r="CN19">
        <v>0</v>
      </c>
      <c r="CQ19" t="s">
        <v>477</v>
      </c>
      <c r="CR19">
        <v>0</v>
      </c>
      <c r="CS19">
        <v>0</v>
      </c>
      <c r="CU19">
        <v>0</v>
      </c>
      <c r="CV19">
        <v>0</v>
      </c>
      <c r="CW19" t="s">
        <v>477</v>
      </c>
      <c r="CX19">
        <v>0</v>
      </c>
      <c r="CY19">
        <v>0</v>
      </c>
      <c r="CZ19">
        <v>0</v>
      </c>
      <c r="DA19" t="s">
        <v>477</v>
      </c>
      <c r="DB19">
        <v>0</v>
      </c>
      <c r="DC19">
        <v>0</v>
      </c>
      <c r="DN19">
        <v>0</v>
      </c>
      <c r="DO19">
        <v>0</v>
      </c>
    </row>
    <row r="20" spans="2:133">
      <c r="B20" t="s">
        <v>474</v>
      </c>
      <c r="C20">
        <v>3</v>
      </c>
      <c r="D20" t="s">
        <v>472</v>
      </c>
      <c r="E20">
        <v>1</v>
      </c>
      <c r="F20" t="s">
        <v>475</v>
      </c>
      <c r="G20">
        <v>17</v>
      </c>
      <c r="H20" t="s">
        <v>517</v>
      </c>
      <c r="I20">
        <v>0</v>
      </c>
      <c r="J20">
        <v>1</v>
      </c>
      <c r="K20" t="s">
        <v>478</v>
      </c>
      <c r="L20" t="s">
        <v>482</v>
      </c>
      <c r="Y20">
        <v>96</v>
      </c>
      <c r="Z20">
        <v>75</v>
      </c>
      <c r="AA20">
        <v>95.358000000000004</v>
      </c>
      <c r="AB20">
        <v>75</v>
      </c>
      <c r="AC20">
        <v>29</v>
      </c>
      <c r="AF20">
        <v>75</v>
      </c>
      <c r="AG20">
        <v>52</v>
      </c>
      <c r="AH20">
        <v>63.062869999999997</v>
      </c>
      <c r="AI20">
        <v>75</v>
      </c>
      <c r="AJ20">
        <v>124</v>
      </c>
      <c r="AK20">
        <v>2108</v>
      </c>
      <c r="AL20">
        <v>1356.652</v>
      </c>
      <c r="AM20">
        <v>0</v>
      </c>
      <c r="AN20">
        <v>1356.652</v>
      </c>
      <c r="AR20">
        <v>301.1712</v>
      </c>
      <c r="AS20">
        <v>60.310969999999998</v>
      </c>
      <c r="AT20">
        <v>18.808620000000001</v>
      </c>
      <c r="AU20" t="s">
        <v>476</v>
      </c>
      <c r="AV20">
        <v>0</v>
      </c>
      <c r="AW20">
        <v>0</v>
      </c>
      <c r="AX20">
        <v>0</v>
      </c>
      <c r="AY20">
        <v>1</v>
      </c>
      <c r="AZ20">
        <v>60.310969999999998</v>
      </c>
      <c r="BA20">
        <v>0</v>
      </c>
      <c r="BB20">
        <v>0</v>
      </c>
      <c r="BE20">
        <v>124</v>
      </c>
      <c r="BF20">
        <v>245.9999</v>
      </c>
      <c r="BG20">
        <v>301.1712</v>
      </c>
      <c r="BH20">
        <v>0</v>
      </c>
      <c r="BI20">
        <v>0</v>
      </c>
      <c r="BJ20">
        <v>0</v>
      </c>
      <c r="BK20">
        <v>0</v>
      </c>
      <c r="BL20">
        <v>0</v>
      </c>
      <c r="BM20">
        <v>0</v>
      </c>
      <c r="BN20">
        <v>0</v>
      </c>
      <c r="BO20">
        <v>0</v>
      </c>
      <c r="BP20">
        <v>0</v>
      </c>
      <c r="BQ20">
        <v>0</v>
      </c>
      <c r="BR20">
        <v>0</v>
      </c>
      <c r="BS20">
        <v>186</v>
      </c>
      <c r="BT20">
        <v>666.39120000000003</v>
      </c>
      <c r="BU20">
        <v>124</v>
      </c>
      <c r="BV20">
        <v>444.26069999999999</v>
      </c>
      <c r="BW20">
        <v>0</v>
      </c>
      <c r="BX20">
        <v>0</v>
      </c>
      <c r="BY20">
        <v>0</v>
      </c>
      <c r="BZ20">
        <v>0</v>
      </c>
      <c r="CA20">
        <v>0</v>
      </c>
      <c r="CB20">
        <v>1110.652</v>
      </c>
      <c r="CC20">
        <v>0</v>
      </c>
      <c r="CD20">
        <v>0</v>
      </c>
      <c r="CE20">
        <v>0</v>
      </c>
      <c r="CF20">
        <v>0</v>
      </c>
      <c r="CL20" t="s">
        <v>477</v>
      </c>
      <c r="CM20">
        <v>0</v>
      </c>
      <c r="CN20">
        <v>0</v>
      </c>
      <c r="CQ20" t="s">
        <v>477</v>
      </c>
      <c r="CR20">
        <v>0</v>
      </c>
      <c r="CS20">
        <v>0</v>
      </c>
      <c r="CU20">
        <v>0</v>
      </c>
      <c r="CV20">
        <v>0</v>
      </c>
      <c r="CW20" t="s">
        <v>477</v>
      </c>
      <c r="CX20">
        <v>0</v>
      </c>
      <c r="CY20">
        <v>0</v>
      </c>
      <c r="CZ20">
        <v>0</v>
      </c>
      <c r="DA20" t="s">
        <v>477</v>
      </c>
      <c r="DB20">
        <v>0</v>
      </c>
      <c r="DC20">
        <v>0</v>
      </c>
      <c r="DN20">
        <v>0</v>
      </c>
      <c r="DO20">
        <v>0</v>
      </c>
    </row>
    <row r="21" spans="2:133">
      <c r="B21" t="s">
        <v>474</v>
      </c>
      <c r="C21">
        <v>3</v>
      </c>
      <c r="D21" t="s">
        <v>472</v>
      </c>
      <c r="E21">
        <v>1</v>
      </c>
      <c r="F21" t="s">
        <v>475</v>
      </c>
      <c r="G21">
        <v>18</v>
      </c>
      <c r="H21" t="s">
        <v>518</v>
      </c>
      <c r="I21">
        <v>0</v>
      </c>
      <c r="J21">
        <v>1</v>
      </c>
      <c r="K21" t="s">
        <v>478</v>
      </c>
      <c r="L21" t="s">
        <v>482</v>
      </c>
      <c r="Y21">
        <v>96</v>
      </c>
      <c r="Z21">
        <v>75</v>
      </c>
      <c r="AA21">
        <v>95.358000000000004</v>
      </c>
      <c r="AB21">
        <v>75</v>
      </c>
      <c r="AC21">
        <v>29</v>
      </c>
      <c r="AF21">
        <v>75</v>
      </c>
      <c r="AG21">
        <v>52</v>
      </c>
      <c r="AH21">
        <v>63.062869999999997</v>
      </c>
      <c r="AI21">
        <v>75</v>
      </c>
      <c r="AJ21">
        <v>120</v>
      </c>
      <c r="AK21">
        <v>2040</v>
      </c>
      <c r="AL21">
        <v>2942.335</v>
      </c>
      <c r="AM21">
        <v>630</v>
      </c>
      <c r="AN21">
        <v>3572.335</v>
      </c>
      <c r="AR21">
        <v>291.45600000000002</v>
      </c>
      <c r="AS21">
        <v>130.80369999999999</v>
      </c>
      <c r="AT21">
        <v>18.201889999999999</v>
      </c>
      <c r="AU21" t="s">
        <v>476</v>
      </c>
      <c r="AV21">
        <v>0</v>
      </c>
      <c r="AW21">
        <v>0</v>
      </c>
      <c r="AX21">
        <v>0</v>
      </c>
      <c r="AY21">
        <v>1</v>
      </c>
      <c r="AZ21">
        <v>130.80369999999999</v>
      </c>
      <c r="BA21">
        <v>0</v>
      </c>
      <c r="BB21">
        <v>0</v>
      </c>
      <c r="BE21">
        <v>120</v>
      </c>
      <c r="BF21">
        <v>238.06440000000001</v>
      </c>
      <c r="BG21">
        <v>291.45600000000002</v>
      </c>
      <c r="BH21">
        <v>0</v>
      </c>
      <c r="BI21">
        <v>0</v>
      </c>
      <c r="BJ21">
        <v>0</v>
      </c>
      <c r="BK21">
        <v>0</v>
      </c>
      <c r="BL21">
        <v>0</v>
      </c>
      <c r="BM21">
        <v>0</v>
      </c>
      <c r="BN21">
        <v>0</v>
      </c>
      <c r="BO21">
        <v>0</v>
      </c>
      <c r="BP21">
        <v>0</v>
      </c>
      <c r="BQ21">
        <v>0</v>
      </c>
      <c r="BR21">
        <v>0</v>
      </c>
      <c r="BS21">
        <v>168</v>
      </c>
      <c r="BT21">
        <v>601.90170000000001</v>
      </c>
      <c r="BU21">
        <v>367</v>
      </c>
      <c r="BV21">
        <v>1314.8679999999999</v>
      </c>
      <c r="BW21">
        <v>0</v>
      </c>
      <c r="BX21">
        <v>0</v>
      </c>
      <c r="BY21">
        <v>3</v>
      </c>
      <c r="BZ21">
        <v>787.49990000000003</v>
      </c>
      <c r="CA21">
        <v>630</v>
      </c>
      <c r="CB21">
        <v>2704.27</v>
      </c>
      <c r="CC21">
        <v>630</v>
      </c>
      <c r="CD21">
        <v>0</v>
      </c>
      <c r="CE21">
        <v>0</v>
      </c>
      <c r="CF21">
        <v>0</v>
      </c>
      <c r="CL21" t="s">
        <v>477</v>
      </c>
      <c r="CM21">
        <v>0</v>
      </c>
      <c r="CN21">
        <v>0</v>
      </c>
      <c r="CQ21" t="s">
        <v>477</v>
      </c>
      <c r="CR21">
        <v>0</v>
      </c>
      <c r="CS21">
        <v>0</v>
      </c>
      <c r="CU21">
        <v>0</v>
      </c>
      <c r="CV21">
        <v>0</v>
      </c>
      <c r="CW21" t="s">
        <v>477</v>
      </c>
      <c r="CX21">
        <v>0</v>
      </c>
      <c r="CY21">
        <v>0</v>
      </c>
      <c r="CZ21">
        <v>0</v>
      </c>
      <c r="DA21" t="s">
        <v>477</v>
      </c>
      <c r="DB21">
        <v>0</v>
      </c>
      <c r="DC21">
        <v>0</v>
      </c>
      <c r="DN21">
        <v>0</v>
      </c>
      <c r="DO21">
        <v>0</v>
      </c>
    </row>
    <row r="22" spans="2:133">
      <c r="B22" t="s">
        <v>474</v>
      </c>
      <c r="C22">
        <v>3</v>
      </c>
      <c r="D22" t="s">
        <v>472</v>
      </c>
      <c r="E22">
        <v>1</v>
      </c>
      <c r="F22" t="s">
        <v>475</v>
      </c>
      <c r="G22">
        <v>19</v>
      </c>
      <c r="H22" t="s">
        <v>519</v>
      </c>
      <c r="I22">
        <v>0</v>
      </c>
      <c r="J22">
        <v>1</v>
      </c>
      <c r="K22" t="s">
        <v>478</v>
      </c>
      <c r="L22" t="s">
        <v>482</v>
      </c>
      <c r="Y22">
        <v>96</v>
      </c>
      <c r="Z22">
        <v>75</v>
      </c>
      <c r="AA22">
        <v>95.358000000000004</v>
      </c>
      <c r="AB22">
        <v>75</v>
      </c>
      <c r="AC22">
        <v>29</v>
      </c>
      <c r="AF22">
        <v>75</v>
      </c>
      <c r="AG22">
        <v>52</v>
      </c>
      <c r="AH22">
        <v>63.062869999999997</v>
      </c>
      <c r="AI22">
        <v>75</v>
      </c>
      <c r="AJ22">
        <v>1030</v>
      </c>
      <c r="AK22">
        <v>17510</v>
      </c>
      <c r="AL22">
        <v>16443.68</v>
      </c>
      <c r="AM22">
        <v>0</v>
      </c>
      <c r="AN22">
        <v>16443.68</v>
      </c>
      <c r="AR22">
        <v>15439.69</v>
      </c>
      <c r="AS22">
        <v>731.0163</v>
      </c>
      <c r="AT22">
        <v>964.23299999999995</v>
      </c>
      <c r="AU22" t="s">
        <v>476</v>
      </c>
      <c r="AV22">
        <v>0</v>
      </c>
      <c r="AW22">
        <v>0</v>
      </c>
      <c r="AX22">
        <v>0</v>
      </c>
      <c r="AY22">
        <v>1</v>
      </c>
      <c r="AZ22">
        <v>964.23299999999995</v>
      </c>
      <c r="BA22">
        <v>0</v>
      </c>
      <c r="BB22">
        <v>0</v>
      </c>
      <c r="BE22">
        <v>1030</v>
      </c>
      <c r="BF22">
        <v>2043.386</v>
      </c>
      <c r="BG22">
        <v>2501.6640000000002</v>
      </c>
      <c r="BH22">
        <v>1494.65</v>
      </c>
      <c r="BI22">
        <v>4221.7219999999998</v>
      </c>
      <c r="BJ22">
        <v>11420.02</v>
      </c>
      <c r="BK22">
        <v>60</v>
      </c>
      <c r="BL22">
        <v>1322.0229999999999</v>
      </c>
      <c r="BM22">
        <v>1518</v>
      </c>
      <c r="BN22">
        <v>0</v>
      </c>
      <c r="BO22">
        <v>0</v>
      </c>
      <c r="BP22">
        <v>0</v>
      </c>
      <c r="BQ22">
        <v>0</v>
      </c>
      <c r="BR22">
        <v>0</v>
      </c>
      <c r="BS22">
        <v>1442</v>
      </c>
      <c r="BT22">
        <v>5166.3230000000003</v>
      </c>
      <c r="BU22">
        <v>1030</v>
      </c>
      <c r="BV22">
        <v>3690.23</v>
      </c>
      <c r="BW22">
        <v>0</v>
      </c>
      <c r="BX22">
        <v>0</v>
      </c>
      <c r="BY22">
        <v>0</v>
      </c>
      <c r="BZ22">
        <v>0</v>
      </c>
      <c r="CA22">
        <v>0</v>
      </c>
      <c r="CB22">
        <v>8856.5529999999999</v>
      </c>
      <c r="CC22">
        <v>0</v>
      </c>
      <c r="CD22">
        <v>0</v>
      </c>
      <c r="CE22">
        <v>0</v>
      </c>
      <c r="CF22">
        <v>0</v>
      </c>
      <c r="CL22" t="s">
        <v>477</v>
      </c>
      <c r="CM22">
        <v>0</v>
      </c>
      <c r="CN22">
        <v>0</v>
      </c>
      <c r="CQ22" t="s">
        <v>477</v>
      </c>
      <c r="CR22">
        <v>0</v>
      </c>
      <c r="CS22">
        <v>0</v>
      </c>
      <c r="CU22">
        <v>0</v>
      </c>
      <c r="CV22">
        <v>0</v>
      </c>
      <c r="CW22" t="s">
        <v>477</v>
      </c>
      <c r="CX22">
        <v>0</v>
      </c>
      <c r="CY22">
        <v>0</v>
      </c>
      <c r="CZ22">
        <v>0</v>
      </c>
      <c r="DA22" t="s">
        <v>477</v>
      </c>
      <c r="DB22">
        <v>0</v>
      </c>
      <c r="DC22">
        <v>0</v>
      </c>
      <c r="DN22">
        <v>0</v>
      </c>
      <c r="DO22">
        <v>0</v>
      </c>
    </row>
    <row r="23" spans="2:133">
      <c r="B23" t="s">
        <v>474</v>
      </c>
      <c r="C23">
        <v>3</v>
      </c>
      <c r="D23" t="s">
        <v>472</v>
      </c>
      <c r="E23">
        <v>1</v>
      </c>
      <c r="F23" t="s">
        <v>475</v>
      </c>
      <c r="G23">
        <v>20</v>
      </c>
      <c r="H23" t="s">
        <v>520</v>
      </c>
      <c r="I23">
        <v>0</v>
      </c>
      <c r="J23">
        <v>1</v>
      </c>
      <c r="K23" t="s">
        <v>478</v>
      </c>
      <c r="L23" t="s">
        <v>482</v>
      </c>
      <c r="Y23">
        <v>96</v>
      </c>
      <c r="Z23">
        <v>75</v>
      </c>
      <c r="AA23">
        <v>95.358000000000004</v>
      </c>
      <c r="AB23">
        <v>75</v>
      </c>
      <c r="AC23">
        <v>29</v>
      </c>
      <c r="AF23">
        <v>75</v>
      </c>
      <c r="AG23">
        <v>52</v>
      </c>
      <c r="AH23">
        <v>63.062869999999997</v>
      </c>
      <c r="AI23">
        <v>75</v>
      </c>
      <c r="AJ23">
        <v>590</v>
      </c>
      <c r="AK23">
        <v>10030</v>
      </c>
      <c r="AL23">
        <v>5186.7439999999997</v>
      </c>
      <c r="AM23">
        <v>0</v>
      </c>
      <c r="AN23">
        <v>5186.7439999999997</v>
      </c>
      <c r="AR23">
        <v>1432.992</v>
      </c>
      <c r="AS23">
        <v>354</v>
      </c>
      <c r="AT23">
        <v>89.492630000000005</v>
      </c>
      <c r="AU23" t="s">
        <v>476</v>
      </c>
      <c r="AV23">
        <v>0</v>
      </c>
      <c r="AW23">
        <v>0</v>
      </c>
      <c r="AX23">
        <v>0</v>
      </c>
      <c r="AY23">
        <v>1</v>
      </c>
      <c r="AZ23">
        <v>354</v>
      </c>
      <c r="BA23">
        <v>0</v>
      </c>
      <c r="BB23">
        <v>0</v>
      </c>
      <c r="BE23">
        <v>590</v>
      </c>
      <c r="BF23">
        <v>1170.4829999999999</v>
      </c>
      <c r="BG23">
        <v>1432.992</v>
      </c>
      <c r="BH23">
        <v>0</v>
      </c>
      <c r="BI23">
        <v>0</v>
      </c>
      <c r="BJ23">
        <v>0</v>
      </c>
      <c r="BK23">
        <v>0</v>
      </c>
      <c r="BL23">
        <v>0</v>
      </c>
      <c r="BM23">
        <v>0</v>
      </c>
      <c r="BN23">
        <v>0</v>
      </c>
      <c r="BO23">
        <v>0</v>
      </c>
      <c r="BP23">
        <v>0</v>
      </c>
      <c r="BQ23">
        <v>0</v>
      </c>
      <c r="BR23">
        <v>0</v>
      </c>
      <c r="BS23">
        <v>531</v>
      </c>
      <c r="BT23">
        <v>1902.4390000000001</v>
      </c>
      <c r="BU23">
        <v>590</v>
      </c>
      <c r="BV23">
        <v>2113.8209999999999</v>
      </c>
      <c r="BW23">
        <v>0</v>
      </c>
      <c r="BX23">
        <v>0</v>
      </c>
      <c r="BY23">
        <v>0</v>
      </c>
      <c r="BZ23">
        <v>0</v>
      </c>
      <c r="CA23">
        <v>0</v>
      </c>
      <c r="CB23">
        <v>4016.26</v>
      </c>
      <c r="CC23">
        <v>0</v>
      </c>
      <c r="CD23">
        <v>0</v>
      </c>
      <c r="CE23">
        <v>0</v>
      </c>
      <c r="CF23">
        <v>0</v>
      </c>
      <c r="CL23" t="s">
        <v>477</v>
      </c>
      <c r="CM23">
        <v>0</v>
      </c>
      <c r="CN23">
        <v>0</v>
      </c>
      <c r="CQ23" t="s">
        <v>477</v>
      </c>
      <c r="CR23">
        <v>0</v>
      </c>
      <c r="CS23">
        <v>0</v>
      </c>
      <c r="CU23">
        <v>0</v>
      </c>
      <c r="CV23">
        <v>0</v>
      </c>
      <c r="CW23" t="s">
        <v>477</v>
      </c>
      <c r="CX23">
        <v>0</v>
      </c>
      <c r="CY23">
        <v>0</v>
      </c>
      <c r="CZ23">
        <v>0</v>
      </c>
      <c r="DA23" t="s">
        <v>477</v>
      </c>
      <c r="DB23">
        <v>0</v>
      </c>
      <c r="DC23">
        <v>0</v>
      </c>
      <c r="DN23">
        <v>0</v>
      </c>
      <c r="DO23">
        <v>0</v>
      </c>
    </row>
    <row r="24" spans="2:133">
      <c r="B24" t="s">
        <v>474</v>
      </c>
      <c r="C24">
        <v>3</v>
      </c>
      <c r="D24" t="s">
        <v>472</v>
      </c>
      <c r="E24">
        <v>1</v>
      </c>
      <c r="F24" t="s">
        <v>475</v>
      </c>
      <c r="G24">
        <v>115</v>
      </c>
      <c r="H24" t="s">
        <v>618</v>
      </c>
      <c r="I24">
        <v>0</v>
      </c>
      <c r="J24">
        <v>1</v>
      </c>
      <c r="K24" t="s">
        <v>478</v>
      </c>
      <c r="L24" t="s">
        <v>482</v>
      </c>
      <c r="Y24">
        <v>96</v>
      </c>
      <c r="Z24">
        <v>75</v>
      </c>
      <c r="AA24">
        <v>95.358000000000004</v>
      </c>
      <c r="AB24">
        <v>75</v>
      </c>
      <c r="AC24">
        <v>29</v>
      </c>
      <c r="AF24">
        <v>75</v>
      </c>
      <c r="AG24">
        <v>52</v>
      </c>
      <c r="AH24">
        <v>63.062869999999997</v>
      </c>
      <c r="AI24">
        <v>75</v>
      </c>
      <c r="AJ24">
        <v>367</v>
      </c>
      <c r="AK24">
        <v>6239</v>
      </c>
      <c r="AL24">
        <v>9851.4689999999991</v>
      </c>
      <c r="AM24">
        <v>2100</v>
      </c>
      <c r="AN24">
        <v>11951.47</v>
      </c>
      <c r="AR24">
        <v>891.36959999999999</v>
      </c>
      <c r="AS24">
        <v>437.95440000000002</v>
      </c>
      <c r="AT24">
        <v>55.667450000000002</v>
      </c>
      <c r="AU24" t="s">
        <v>476</v>
      </c>
      <c r="AV24">
        <v>0</v>
      </c>
      <c r="AW24">
        <v>0</v>
      </c>
      <c r="AX24">
        <v>0</v>
      </c>
      <c r="AY24">
        <v>1</v>
      </c>
      <c r="AZ24">
        <v>437.95440000000002</v>
      </c>
      <c r="BA24">
        <v>0</v>
      </c>
      <c r="BB24">
        <v>0</v>
      </c>
      <c r="BE24">
        <v>367</v>
      </c>
      <c r="BF24">
        <v>728.08029999999997</v>
      </c>
      <c r="BG24">
        <v>891.36959999999999</v>
      </c>
      <c r="BH24">
        <v>0</v>
      </c>
      <c r="BI24">
        <v>0</v>
      </c>
      <c r="BJ24">
        <v>0</v>
      </c>
      <c r="BK24">
        <v>0</v>
      </c>
      <c r="BL24">
        <v>0</v>
      </c>
      <c r="BM24">
        <v>0</v>
      </c>
      <c r="BN24">
        <v>0</v>
      </c>
      <c r="BO24">
        <v>0</v>
      </c>
      <c r="BP24">
        <v>0</v>
      </c>
      <c r="BQ24">
        <v>0</v>
      </c>
      <c r="BR24">
        <v>0</v>
      </c>
      <c r="BS24">
        <v>513.79999999999995</v>
      </c>
      <c r="BT24">
        <v>1840.816</v>
      </c>
      <c r="BU24">
        <v>1300</v>
      </c>
      <c r="BV24">
        <v>4657.5720000000001</v>
      </c>
      <c r="BW24">
        <v>0</v>
      </c>
      <c r="BX24">
        <v>0</v>
      </c>
      <c r="BY24">
        <v>10</v>
      </c>
      <c r="BZ24">
        <v>2625</v>
      </c>
      <c r="CA24">
        <v>2100</v>
      </c>
      <c r="CB24">
        <v>9123.3889999999992</v>
      </c>
      <c r="CC24">
        <v>2100</v>
      </c>
      <c r="CD24">
        <v>0</v>
      </c>
      <c r="CE24">
        <v>0</v>
      </c>
      <c r="CF24">
        <v>0</v>
      </c>
      <c r="CL24" t="s">
        <v>477</v>
      </c>
      <c r="CM24">
        <v>0</v>
      </c>
      <c r="CN24">
        <v>0</v>
      </c>
      <c r="CQ24" t="s">
        <v>477</v>
      </c>
      <c r="CR24">
        <v>0</v>
      </c>
      <c r="CS24">
        <v>0</v>
      </c>
      <c r="CU24">
        <v>0</v>
      </c>
      <c r="CV24">
        <v>0</v>
      </c>
      <c r="CW24" t="s">
        <v>477</v>
      </c>
      <c r="CX24">
        <v>0</v>
      </c>
      <c r="CY24">
        <v>0</v>
      </c>
      <c r="CZ24">
        <v>0</v>
      </c>
      <c r="DA24" t="s">
        <v>477</v>
      </c>
      <c r="DB24">
        <v>0</v>
      </c>
      <c r="DC24">
        <v>0</v>
      </c>
      <c r="DN24">
        <v>0</v>
      </c>
      <c r="DO24">
        <v>0</v>
      </c>
    </row>
    <row r="25" spans="2:133">
      <c r="B25" t="s">
        <v>474</v>
      </c>
      <c r="C25">
        <v>3</v>
      </c>
      <c r="D25" t="s">
        <v>472</v>
      </c>
      <c r="E25">
        <v>1</v>
      </c>
      <c r="F25" t="s">
        <v>475</v>
      </c>
      <c r="G25">
        <v>116</v>
      </c>
      <c r="H25" t="s">
        <v>619</v>
      </c>
      <c r="I25">
        <v>0</v>
      </c>
      <c r="J25">
        <v>1</v>
      </c>
      <c r="K25" t="s">
        <v>478</v>
      </c>
      <c r="L25" t="s">
        <v>482</v>
      </c>
      <c r="Y25">
        <v>96</v>
      </c>
      <c r="Z25">
        <v>75</v>
      </c>
      <c r="AA25">
        <v>95.358000000000004</v>
      </c>
      <c r="AB25">
        <v>75</v>
      </c>
      <c r="AC25">
        <v>29</v>
      </c>
      <c r="AF25">
        <v>75</v>
      </c>
      <c r="AG25">
        <v>52</v>
      </c>
      <c r="AH25">
        <v>63.062869999999997</v>
      </c>
      <c r="AI25">
        <v>75</v>
      </c>
      <c r="AJ25">
        <v>370</v>
      </c>
      <c r="AK25">
        <v>6290</v>
      </c>
      <c r="AL25">
        <v>7734.8959999999997</v>
      </c>
      <c r="AM25">
        <v>2100</v>
      </c>
      <c r="AN25">
        <v>9834.8960000000006</v>
      </c>
      <c r="AR25">
        <v>898.65610000000004</v>
      </c>
      <c r="AS25">
        <v>343.86059999999998</v>
      </c>
      <c r="AT25">
        <v>56.122509999999998</v>
      </c>
      <c r="AU25" t="s">
        <v>476</v>
      </c>
      <c r="AV25">
        <v>0</v>
      </c>
      <c r="AW25">
        <v>0</v>
      </c>
      <c r="AX25">
        <v>0</v>
      </c>
      <c r="AY25">
        <v>1</v>
      </c>
      <c r="AZ25">
        <v>343.86059999999998</v>
      </c>
      <c r="BA25">
        <v>0</v>
      </c>
      <c r="BB25">
        <v>0</v>
      </c>
      <c r="BE25">
        <v>370</v>
      </c>
      <c r="BF25">
        <v>734.03189999999995</v>
      </c>
      <c r="BG25">
        <v>898.65610000000004</v>
      </c>
      <c r="BH25">
        <v>0</v>
      </c>
      <c r="BI25">
        <v>0</v>
      </c>
      <c r="BJ25">
        <v>0</v>
      </c>
      <c r="BK25">
        <v>0</v>
      </c>
      <c r="BL25">
        <v>0</v>
      </c>
      <c r="BM25">
        <v>0</v>
      </c>
      <c r="BN25">
        <v>0</v>
      </c>
      <c r="BO25">
        <v>0</v>
      </c>
      <c r="BP25">
        <v>0</v>
      </c>
      <c r="BQ25">
        <v>0</v>
      </c>
      <c r="BR25">
        <v>0</v>
      </c>
      <c r="BS25">
        <v>518</v>
      </c>
      <c r="BT25">
        <v>1855.864</v>
      </c>
      <c r="BU25">
        <v>703</v>
      </c>
      <c r="BV25">
        <v>2520</v>
      </c>
      <c r="BW25">
        <v>0</v>
      </c>
      <c r="BX25">
        <v>0</v>
      </c>
      <c r="BY25">
        <v>10</v>
      </c>
      <c r="BZ25">
        <v>2625</v>
      </c>
      <c r="CA25">
        <v>2100</v>
      </c>
      <c r="CB25">
        <v>7000.8630000000003</v>
      </c>
      <c r="CC25">
        <v>2100</v>
      </c>
      <c r="CD25">
        <v>0</v>
      </c>
      <c r="CE25">
        <v>0</v>
      </c>
      <c r="CF25">
        <v>0</v>
      </c>
      <c r="CL25" t="s">
        <v>477</v>
      </c>
      <c r="CM25">
        <v>0</v>
      </c>
      <c r="CN25">
        <v>0</v>
      </c>
      <c r="CQ25" t="s">
        <v>477</v>
      </c>
      <c r="CR25">
        <v>0</v>
      </c>
      <c r="CS25">
        <v>0</v>
      </c>
      <c r="CU25">
        <v>0</v>
      </c>
      <c r="CV25">
        <v>0</v>
      </c>
      <c r="CW25" t="s">
        <v>477</v>
      </c>
      <c r="CX25">
        <v>0</v>
      </c>
      <c r="CY25">
        <v>0</v>
      </c>
      <c r="CZ25">
        <v>0</v>
      </c>
      <c r="DA25" t="s">
        <v>477</v>
      </c>
      <c r="DB25">
        <v>0</v>
      </c>
      <c r="DC25">
        <v>0</v>
      </c>
      <c r="DN25">
        <v>0</v>
      </c>
      <c r="DO25">
        <v>0</v>
      </c>
    </row>
    <row r="26" spans="2:133">
      <c r="B26" t="s">
        <v>474</v>
      </c>
      <c r="C26">
        <v>3</v>
      </c>
      <c r="D26" t="s">
        <v>472</v>
      </c>
      <c r="E26">
        <v>1</v>
      </c>
      <c r="F26" t="s">
        <v>475</v>
      </c>
      <c r="G26">
        <v>117</v>
      </c>
      <c r="H26" t="s">
        <v>620</v>
      </c>
      <c r="I26">
        <v>0</v>
      </c>
      <c r="J26">
        <v>1</v>
      </c>
      <c r="K26" t="s">
        <v>478</v>
      </c>
      <c r="L26" t="s">
        <v>482</v>
      </c>
      <c r="Y26">
        <v>96</v>
      </c>
      <c r="Z26">
        <v>75</v>
      </c>
      <c r="AA26">
        <v>95.358000000000004</v>
      </c>
      <c r="AB26">
        <v>75</v>
      </c>
      <c r="AC26">
        <v>29</v>
      </c>
      <c r="AF26">
        <v>75</v>
      </c>
      <c r="AG26">
        <v>52</v>
      </c>
      <c r="AH26">
        <v>63.062869999999997</v>
      </c>
      <c r="AI26">
        <v>75</v>
      </c>
      <c r="AJ26">
        <v>704</v>
      </c>
      <c r="AK26">
        <v>11968</v>
      </c>
      <c r="AL26">
        <v>16052.1</v>
      </c>
      <c r="AM26">
        <v>5460</v>
      </c>
      <c r="AN26">
        <v>21512.1</v>
      </c>
      <c r="AR26">
        <v>1709.875</v>
      </c>
      <c r="AS26">
        <v>713.60799999999995</v>
      </c>
      <c r="AT26">
        <v>106.78440000000001</v>
      </c>
      <c r="AU26" t="s">
        <v>476</v>
      </c>
      <c r="AV26">
        <v>0</v>
      </c>
      <c r="AW26">
        <v>0</v>
      </c>
      <c r="AX26">
        <v>0</v>
      </c>
      <c r="AY26">
        <v>1</v>
      </c>
      <c r="AZ26">
        <v>713.60799999999995</v>
      </c>
      <c r="BA26">
        <v>0</v>
      </c>
      <c r="BB26">
        <v>0</v>
      </c>
      <c r="BE26">
        <v>704</v>
      </c>
      <c r="BF26">
        <v>1396.644</v>
      </c>
      <c r="BG26">
        <v>1709.875</v>
      </c>
      <c r="BH26">
        <v>0</v>
      </c>
      <c r="BI26">
        <v>0</v>
      </c>
      <c r="BJ26">
        <v>0</v>
      </c>
      <c r="BK26">
        <v>0</v>
      </c>
      <c r="BL26">
        <v>0</v>
      </c>
      <c r="BM26">
        <v>0</v>
      </c>
      <c r="BN26">
        <v>0</v>
      </c>
      <c r="BO26">
        <v>0</v>
      </c>
      <c r="BP26">
        <v>0</v>
      </c>
      <c r="BQ26">
        <v>0</v>
      </c>
      <c r="BR26">
        <v>0</v>
      </c>
      <c r="BS26">
        <v>985.6</v>
      </c>
      <c r="BT26">
        <v>3531.1559999999999</v>
      </c>
      <c r="BU26">
        <v>1200</v>
      </c>
      <c r="BV26">
        <v>4299.2979999999998</v>
      </c>
      <c r="BW26">
        <v>0</v>
      </c>
      <c r="BX26">
        <v>0</v>
      </c>
      <c r="BY26">
        <v>26</v>
      </c>
      <c r="BZ26">
        <v>6825</v>
      </c>
      <c r="CA26">
        <v>5460</v>
      </c>
      <c r="CB26">
        <v>14655.45</v>
      </c>
      <c r="CC26">
        <v>5460</v>
      </c>
      <c r="CD26">
        <v>0</v>
      </c>
      <c r="CE26">
        <v>0</v>
      </c>
      <c r="CF26">
        <v>0</v>
      </c>
      <c r="CL26" t="s">
        <v>477</v>
      </c>
      <c r="CM26">
        <v>0</v>
      </c>
      <c r="CN26">
        <v>0</v>
      </c>
      <c r="CQ26" t="s">
        <v>477</v>
      </c>
      <c r="CR26">
        <v>0</v>
      </c>
      <c r="CS26">
        <v>0</v>
      </c>
      <c r="CU26">
        <v>0</v>
      </c>
      <c r="CV26">
        <v>0</v>
      </c>
      <c r="CW26" t="s">
        <v>477</v>
      </c>
      <c r="CX26">
        <v>0</v>
      </c>
      <c r="CY26">
        <v>0</v>
      </c>
      <c r="CZ26">
        <v>0</v>
      </c>
      <c r="DA26" t="s">
        <v>477</v>
      </c>
      <c r="DB26">
        <v>0</v>
      </c>
      <c r="DC26">
        <v>0</v>
      </c>
      <c r="DN26">
        <v>0</v>
      </c>
      <c r="DO26">
        <v>0</v>
      </c>
    </row>
    <row r="27" spans="2:133">
      <c r="B27" t="s">
        <v>474</v>
      </c>
      <c r="C27">
        <v>3</v>
      </c>
      <c r="D27" t="s">
        <v>472</v>
      </c>
      <c r="E27">
        <v>1</v>
      </c>
      <c r="F27" t="s">
        <v>475</v>
      </c>
      <c r="G27">
        <v>118</v>
      </c>
      <c r="H27" t="s">
        <v>621</v>
      </c>
      <c r="I27">
        <v>0</v>
      </c>
      <c r="J27">
        <v>1</v>
      </c>
      <c r="K27" t="s">
        <v>478</v>
      </c>
      <c r="L27" t="s">
        <v>482</v>
      </c>
      <c r="Y27">
        <v>96</v>
      </c>
      <c r="Z27">
        <v>75</v>
      </c>
      <c r="AA27">
        <v>95.358000000000004</v>
      </c>
      <c r="AB27">
        <v>75</v>
      </c>
      <c r="AC27">
        <v>29</v>
      </c>
      <c r="AF27">
        <v>75</v>
      </c>
      <c r="AG27">
        <v>52</v>
      </c>
      <c r="AH27">
        <v>63.062869999999997</v>
      </c>
      <c r="AI27">
        <v>75</v>
      </c>
      <c r="AJ27">
        <v>77</v>
      </c>
      <c r="AK27">
        <v>1309</v>
      </c>
      <c r="AL27">
        <v>939.41399999999999</v>
      </c>
      <c r="AM27">
        <v>210</v>
      </c>
      <c r="AN27">
        <v>1149.414</v>
      </c>
      <c r="AR27">
        <v>187.01759999999999</v>
      </c>
      <c r="AS27">
        <v>50</v>
      </c>
      <c r="AT27">
        <v>11.679550000000001</v>
      </c>
      <c r="AU27" t="s">
        <v>476</v>
      </c>
      <c r="AV27">
        <v>0</v>
      </c>
      <c r="AW27">
        <v>0</v>
      </c>
      <c r="AX27">
        <v>0</v>
      </c>
      <c r="AY27">
        <v>1</v>
      </c>
      <c r="AZ27">
        <v>50</v>
      </c>
      <c r="BA27">
        <v>0</v>
      </c>
      <c r="BB27">
        <v>0</v>
      </c>
      <c r="BE27">
        <v>77</v>
      </c>
      <c r="BF27">
        <v>152.75800000000001</v>
      </c>
      <c r="BG27">
        <v>187.01759999999999</v>
      </c>
      <c r="BH27">
        <v>0</v>
      </c>
      <c r="BI27">
        <v>0</v>
      </c>
      <c r="BJ27">
        <v>0</v>
      </c>
      <c r="BK27">
        <v>0</v>
      </c>
      <c r="BL27">
        <v>0</v>
      </c>
      <c r="BM27">
        <v>0</v>
      </c>
      <c r="BN27">
        <v>0</v>
      </c>
      <c r="BO27">
        <v>0</v>
      </c>
      <c r="BP27">
        <v>0</v>
      </c>
      <c r="BQ27">
        <v>0</v>
      </c>
      <c r="BR27">
        <v>0</v>
      </c>
      <c r="BS27">
        <v>69</v>
      </c>
      <c r="BT27">
        <v>248.28440000000001</v>
      </c>
      <c r="BU27">
        <v>77</v>
      </c>
      <c r="BV27">
        <v>275.8716</v>
      </c>
      <c r="BW27">
        <v>0</v>
      </c>
      <c r="BX27">
        <v>0</v>
      </c>
      <c r="BY27">
        <v>1</v>
      </c>
      <c r="BZ27">
        <v>262.5</v>
      </c>
      <c r="CA27">
        <v>210</v>
      </c>
      <c r="CB27">
        <v>786.65599999999995</v>
      </c>
      <c r="CC27">
        <v>210</v>
      </c>
      <c r="CD27">
        <v>0</v>
      </c>
      <c r="CE27">
        <v>0</v>
      </c>
      <c r="CF27">
        <v>0</v>
      </c>
      <c r="CL27" t="s">
        <v>477</v>
      </c>
      <c r="CM27">
        <v>0</v>
      </c>
      <c r="CN27">
        <v>0</v>
      </c>
      <c r="CQ27" t="s">
        <v>477</v>
      </c>
      <c r="CR27">
        <v>0</v>
      </c>
      <c r="CS27">
        <v>0</v>
      </c>
      <c r="CU27">
        <v>0</v>
      </c>
      <c r="CV27">
        <v>0</v>
      </c>
      <c r="CW27" t="s">
        <v>477</v>
      </c>
      <c r="CX27">
        <v>0</v>
      </c>
      <c r="CY27">
        <v>0</v>
      </c>
      <c r="CZ27">
        <v>0</v>
      </c>
      <c r="DA27" t="s">
        <v>477</v>
      </c>
      <c r="DB27">
        <v>0</v>
      </c>
      <c r="DC27">
        <v>0</v>
      </c>
      <c r="DN27">
        <v>0</v>
      </c>
      <c r="DO27">
        <v>0</v>
      </c>
    </row>
    <row r="28" spans="2:133">
      <c r="B28" t="s">
        <v>474</v>
      </c>
      <c r="C28">
        <v>3</v>
      </c>
      <c r="D28" t="s">
        <v>472</v>
      </c>
      <c r="E28">
        <v>1</v>
      </c>
      <c r="F28" t="s">
        <v>475</v>
      </c>
      <c r="G28">
        <v>119</v>
      </c>
      <c r="H28" t="s">
        <v>622</v>
      </c>
      <c r="I28">
        <v>0</v>
      </c>
      <c r="J28">
        <v>1</v>
      </c>
      <c r="K28" t="s">
        <v>478</v>
      </c>
      <c r="L28" t="s">
        <v>482</v>
      </c>
      <c r="Y28">
        <v>96</v>
      </c>
      <c r="Z28">
        <v>75</v>
      </c>
      <c r="AA28">
        <v>95.358000000000004</v>
      </c>
      <c r="AB28">
        <v>75</v>
      </c>
      <c r="AC28">
        <v>29</v>
      </c>
      <c r="AF28">
        <v>75</v>
      </c>
      <c r="AG28">
        <v>52</v>
      </c>
      <c r="AH28">
        <v>63.062869999999997</v>
      </c>
      <c r="AI28">
        <v>75</v>
      </c>
      <c r="AJ28">
        <v>754</v>
      </c>
      <c r="AK28">
        <v>12818</v>
      </c>
      <c r="AL28">
        <v>17118.63</v>
      </c>
      <c r="AM28">
        <v>5460</v>
      </c>
      <c r="AN28">
        <v>22578.63</v>
      </c>
      <c r="AR28">
        <v>1831.3150000000001</v>
      </c>
      <c r="AS28">
        <v>761.02170000000001</v>
      </c>
      <c r="AT28">
        <v>114.3686</v>
      </c>
      <c r="AU28" t="s">
        <v>476</v>
      </c>
      <c r="AV28">
        <v>0</v>
      </c>
      <c r="AW28">
        <v>0</v>
      </c>
      <c r="AX28">
        <v>0</v>
      </c>
      <c r="AY28">
        <v>1</v>
      </c>
      <c r="AZ28">
        <v>761.02170000000001</v>
      </c>
      <c r="BA28">
        <v>0</v>
      </c>
      <c r="BB28">
        <v>0</v>
      </c>
      <c r="BE28">
        <v>754</v>
      </c>
      <c r="BF28">
        <v>1495.838</v>
      </c>
      <c r="BG28">
        <v>1831.3150000000001</v>
      </c>
      <c r="BH28">
        <v>0</v>
      </c>
      <c r="BI28">
        <v>0</v>
      </c>
      <c r="BJ28">
        <v>0</v>
      </c>
      <c r="BK28">
        <v>0</v>
      </c>
      <c r="BL28">
        <v>0</v>
      </c>
      <c r="BM28">
        <v>0</v>
      </c>
      <c r="BN28">
        <v>0</v>
      </c>
      <c r="BO28">
        <v>0</v>
      </c>
      <c r="BP28">
        <v>0</v>
      </c>
      <c r="BQ28">
        <v>0</v>
      </c>
      <c r="BR28">
        <v>0</v>
      </c>
      <c r="BS28">
        <v>1055.5999999999999</v>
      </c>
      <c r="BT28">
        <v>3781.9479999999999</v>
      </c>
      <c r="BU28">
        <v>1400</v>
      </c>
      <c r="BV28">
        <v>5015.8469999999998</v>
      </c>
      <c r="BW28">
        <v>0</v>
      </c>
      <c r="BX28">
        <v>0</v>
      </c>
      <c r="BY28">
        <v>26</v>
      </c>
      <c r="BZ28">
        <v>6825</v>
      </c>
      <c r="CA28">
        <v>5460</v>
      </c>
      <c r="CB28">
        <v>15622.79</v>
      </c>
      <c r="CC28">
        <v>5460</v>
      </c>
      <c r="CD28">
        <v>0</v>
      </c>
      <c r="CE28">
        <v>0</v>
      </c>
      <c r="CF28">
        <v>0</v>
      </c>
      <c r="CL28" t="s">
        <v>477</v>
      </c>
      <c r="CM28">
        <v>0</v>
      </c>
      <c r="CN28">
        <v>0</v>
      </c>
      <c r="CQ28" t="s">
        <v>477</v>
      </c>
      <c r="CR28">
        <v>0</v>
      </c>
      <c r="CS28">
        <v>0</v>
      </c>
      <c r="CU28">
        <v>0</v>
      </c>
      <c r="CV28">
        <v>0</v>
      </c>
      <c r="CW28" t="s">
        <v>477</v>
      </c>
      <c r="CX28">
        <v>0</v>
      </c>
      <c r="CY28">
        <v>0</v>
      </c>
      <c r="CZ28">
        <v>0</v>
      </c>
      <c r="DA28" t="s">
        <v>477</v>
      </c>
      <c r="DB28">
        <v>0</v>
      </c>
      <c r="DC28">
        <v>0</v>
      </c>
      <c r="DN28">
        <v>0</v>
      </c>
      <c r="DO28">
        <v>0</v>
      </c>
    </row>
    <row r="29" spans="2:133">
      <c r="B29" t="s">
        <v>474</v>
      </c>
      <c r="C29">
        <v>3</v>
      </c>
      <c r="D29" t="s">
        <v>472</v>
      </c>
      <c r="E29">
        <v>1</v>
      </c>
      <c r="F29" t="s">
        <v>475</v>
      </c>
      <c r="G29">
        <v>120</v>
      </c>
      <c r="H29" t="s">
        <v>623</v>
      </c>
      <c r="I29">
        <v>0</v>
      </c>
      <c r="J29">
        <v>1</v>
      </c>
      <c r="K29" t="s">
        <v>478</v>
      </c>
      <c r="L29" t="s">
        <v>482</v>
      </c>
      <c r="Y29">
        <v>96</v>
      </c>
      <c r="Z29">
        <v>75</v>
      </c>
      <c r="AA29">
        <v>95.358000000000004</v>
      </c>
      <c r="AB29">
        <v>75</v>
      </c>
      <c r="AC29">
        <v>29</v>
      </c>
      <c r="AF29">
        <v>75</v>
      </c>
      <c r="AG29">
        <v>52</v>
      </c>
      <c r="AH29">
        <v>63.062869999999997</v>
      </c>
      <c r="AI29">
        <v>75</v>
      </c>
      <c r="AJ29">
        <v>320</v>
      </c>
      <c r="AK29">
        <v>5440</v>
      </c>
      <c r="AL29">
        <v>7323.8890000000001</v>
      </c>
      <c r="AM29">
        <v>3150</v>
      </c>
      <c r="AN29">
        <v>10473.89</v>
      </c>
      <c r="AR29">
        <v>777.21600000000001</v>
      </c>
      <c r="AS29">
        <v>325.589</v>
      </c>
      <c r="AT29">
        <v>48.538379999999997</v>
      </c>
      <c r="AU29" t="s">
        <v>476</v>
      </c>
      <c r="AV29">
        <v>0</v>
      </c>
      <c r="AW29">
        <v>0</v>
      </c>
      <c r="AX29">
        <v>0</v>
      </c>
      <c r="AY29">
        <v>1</v>
      </c>
      <c r="AZ29">
        <v>325.589</v>
      </c>
      <c r="BA29">
        <v>0</v>
      </c>
      <c r="BB29">
        <v>0</v>
      </c>
      <c r="BE29">
        <v>320</v>
      </c>
      <c r="BF29">
        <v>634.8383</v>
      </c>
      <c r="BG29">
        <v>777.21600000000001</v>
      </c>
      <c r="BH29">
        <v>0</v>
      </c>
      <c r="BI29">
        <v>0</v>
      </c>
      <c r="BJ29">
        <v>0</v>
      </c>
      <c r="BK29">
        <v>0</v>
      </c>
      <c r="BL29">
        <v>0</v>
      </c>
      <c r="BM29">
        <v>0</v>
      </c>
      <c r="BN29">
        <v>0</v>
      </c>
      <c r="BO29">
        <v>0</v>
      </c>
      <c r="BP29">
        <v>0</v>
      </c>
      <c r="BQ29">
        <v>0</v>
      </c>
      <c r="BR29">
        <v>0</v>
      </c>
      <c r="BS29">
        <v>448</v>
      </c>
      <c r="BT29">
        <v>1605.0709999999999</v>
      </c>
      <c r="BU29">
        <v>320</v>
      </c>
      <c r="BV29">
        <v>1146.479</v>
      </c>
      <c r="BW29">
        <v>0</v>
      </c>
      <c r="BX29">
        <v>0</v>
      </c>
      <c r="BY29">
        <v>15</v>
      </c>
      <c r="BZ29">
        <v>3937.5</v>
      </c>
      <c r="CA29">
        <v>3150</v>
      </c>
      <c r="CB29">
        <v>6689.05</v>
      </c>
      <c r="CC29">
        <v>3150</v>
      </c>
      <c r="CD29">
        <v>0</v>
      </c>
      <c r="CE29">
        <v>0</v>
      </c>
      <c r="CF29">
        <v>0</v>
      </c>
      <c r="CL29" t="s">
        <v>477</v>
      </c>
      <c r="CM29">
        <v>0</v>
      </c>
      <c r="CN29">
        <v>0</v>
      </c>
      <c r="CQ29" t="s">
        <v>477</v>
      </c>
      <c r="CR29">
        <v>0</v>
      </c>
      <c r="CS29">
        <v>0</v>
      </c>
      <c r="CU29">
        <v>0</v>
      </c>
      <c r="CV29">
        <v>0</v>
      </c>
      <c r="CW29" t="s">
        <v>477</v>
      </c>
      <c r="CX29">
        <v>0</v>
      </c>
      <c r="CY29">
        <v>0</v>
      </c>
      <c r="CZ29">
        <v>0</v>
      </c>
      <c r="DA29" t="s">
        <v>477</v>
      </c>
      <c r="DB29">
        <v>0</v>
      </c>
      <c r="DC29">
        <v>0</v>
      </c>
      <c r="DN29">
        <v>0</v>
      </c>
      <c r="DO29">
        <v>0</v>
      </c>
    </row>
    <row r="30" spans="2:133">
      <c r="B30" t="s">
        <v>480</v>
      </c>
      <c r="C30">
        <v>5</v>
      </c>
      <c r="D30" t="s">
        <v>472</v>
      </c>
      <c r="E30">
        <v>1</v>
      </c>
      <c r="F30" t="s">
        <v>475</v>
      </c>
      <c r="J30">
        <v>1</v>
      </c>
      <c r="AJ30">
        <v>12078</v>
      </c>
      <c r="AK30">
        <v>205326</v>
      </c>
      <c r="AL30">
        <v>243490</v>
      </c>
      <c r="AM30">
        <v>61110</v>
      </c>
      <c r="AN30">
        <v>304600</v>
      </c>
      <c r="AR30">
        <v>80618.14</v>
      </c>
      <c r="AS30">
        <v>11263.56</v>
      </c>
      <c r="AT30">
        <v>5034.7309999999998</v>
      </c>
    </row>
    <row r="31" spans="2:133">
      <c r="B31" t="s">
        <v>82</v>
      </c>
      <c r="C31">
        <v>1</v>
      </c>
      <c r="D31" t="s">
        <v>472</v>
      </c>
      <c r="E31">
        <v>1</v>
      </c>
      <c r="F31" t="s">
        <v>475</v>
      </c>
      <c r="J31">
        <v>1</v>
      </c>
      <c r="K31" t="s">
        <v>478</v>
      </c>
      <c r="L31" t="s">
        <v>482</v>
      </c>
      <c r="Y31">
        <v>96</v>
      </c>
      <c r="Z31">
        <v>75</v>
      </c>
      <c r="AA31">
        <v>95.358000000000004</v>
      </c>
      <c r="AB31">
        <v>75</v>
      </c>
      <c r="AC31">
        <v>29</v>
      </c>
      <c r="AD31" t="s">
        <v>637</v>
      </c>
      <c r="AE31">
        <v>2</v>
      </c>
      <c r="AF31">
        <v>75</v>
      </c>
      <c r="AG31">
        <v>52</v>
      </c>
      <c r="AH31">
        <v>63.062869999999997</v>
      </c>
      <c r="AI31">
        <v>75</v>
      </c>
      <c r="AJ31">
        <v>12078</v>
      </c>
      <c r="AK31">
        <v>205326</v>
      </c>
      <c r="AL31">
        <v>254642</v>
      </c>
      <c r="AM31">
        <v>61110</v>
      </c>
      <c r="AN31">
        <v>315752</v>
      </c>
      <c r="AO31">
        <v>0</v>
      </c>
      <c r="AP31">
        <v>26.312660000000001</v>
      </c>
      <c r="AQ31">
        <v>0</v>
      </c>
      <c r="AR31">
        <v>80618.14</v>
      </c>
      <c r="AS31">
        <v>11250.45</v>
      </c>
      <c r="AT31">
        <v>5034.7309999999998</v>
      </c>
      <c r="AU31" t="s">
        <v>476</v>
      </c>
      <c r="AV31">
        <v>0</v>
      </c>
      <c r="AW31">
        <v>0</v>
      </c>
      <c r="AX31">
        <v>0</v>
      </c>
      <c r="BA31">
        <v>0</v>
      </c>
      <c r="BB31">
        <v>0</v>
      </c>
      <c r="BC31">
        <v>254642</v>
      </c>
      <c r="BD31">
        <v>0</v>
      </c>
      <c r="BE31">
        <v>12078</v>
      </c>
      <c r="BF31">
        <v>23961.18</v>
      </c>
      <c r="BG31">
        <v>29335.05</v>
      </c>
      <c r="BH31">
        <v>5261.59</v>
      </c>
      <c r="BI31">
        <v>14497.88</v>
      </c>
      <c r="BJ31">
        <v>40201.699999999997</v>
      </c>
      <c r="BK31">
        <v>438</v>
      </c>
      <c r="BL31">
        <v>9403.6820000000007</v>
      </c>
      <c r="BM31">
        <v>11081.4</v>
      </c>
      <c r="BN31">
        <v>0</v>
      </c>
      <c r="BO31">
        <v>0</v>
      </c>
      <c r="BP31">
        <v>0</v>
      </c>
      <c r="BQ31">
        <v>0</v>
      </c>
      <c r="BR31">
        <v>0</v>
      </c>
      <c r="BS31">
        <v>15348.8</v>
      </c>
      <c r="BT31">
        <v>54988.38</v>
      </c>
      <c r="BU31">
        <v>17852</v>
      </c>
      <c r="BV31">
        <v>63960.54</v>
      </c>
      <c r="BW31">
        <v>0</v>
      </c>
      <c r="BX31">
        <v>0</v>
      </c>
      <c r="BY31">
        <v>291</v>
      </c>
      <c r="BZ31">
        <v>76387.5</v>
      </c>
      <c r="CA31">
        <v>61110</v>
      </c>
      <c r="CB31">
        <v>195336.4</v>
      </c>
      <c r="CC31">
        <v>61110</v>
      </c>
      <c r="CD31">
        <v>0</v>
      </c>
      <c r="CE31">
        <v>0</v>
      </c>
      <c r="CF31">
        <v>0</v>
      </c>
      <c r="CG31">
        <v>0</v>
      </c>
      <c r="CH31">
        <v>0</v>
      </c>
      <c r="CI31">
        <v>0</v>
      </c>
      <c r="CJ31">
        <v>0</v>
      </c>
      <c r="CK31">
        <v>0</v>
      </c>
      <c r="CM31">
        <v>0</v>
      </c>
      <c r="CN31">
        <v>0</v>
      </c>
      <c r="CO31">
        <v>0</v>
      </c>
      <c r="CP31">
        <v>0</v>
      </c>
      <c r="CR31">
        <v>0</v>
      </c>
      <c r="CS31">
        <v>0</v>
      </c>
      <c r="CT31">
        <v>0</v>
      </c>
      <c r="CU31">
        <v>0</v>
      </c>
      <c r="CV31">
        <v>0</v>
      </c>
      <c r="CX31">
        <v>0</v>
      </c>
      <c r="CY31">
        <v>0</v>
      </c>
      <c r="CZ31">
        <v>0</v>
      </c>
      <c r="DB31">
        <v>0</v>
      </c>
      <c r="DC31">
        <v>0</v>
      </c>
      <c r="DD31">
        <v>1567.1590000000001</v>
      </c>
      <c r="DE31">
        <v>0</v>
      </c>
      <c r="DF31">
        <v>9875.6460000000006</v>
      </c>
      <c r="DG31">
        <v>0</v>
      </c>
      <c r="DH31">
        <v>0</v>
      </c>
      <c r="DI31">
        <v>0</v>
      </c>
      <c r="DJ31">
        <v>0</v>
      </c>
      <c r="DK31">
        <v>0</v>
      </c>
      <c r="DL31">
        <v>0</v>
      </c>
      <c r="DM31">
        <v>0</v>
      </c>
      <c r="DR31">
        <v>0</v>
      </c>
      <c r="DS31">
        <v>0</v>
      </c>
      <c r="DT31">
        <v>54.182960000000001</v>
      </c>
      <c r="DU31">
        <v>53.363340000000001</v>
      </c>
      <c r="DV31">
        <v>95</v>
      </c>
      <c r="DW31">
        <v>22.303159999999998</v>
      </c>
      <c r="DX31">
        <v>75</v>
      </c>
      <c r="DY31">
        <v>63.059690000000003</v>
      </c>
      <c r="DZ31">
        <v>51.989710000000002</v>
      </c>
      <c r="EA31">
        <v>28.642050000000001</v>
      </c>
      <c r="EB31">
        <v>90</v>
      </c>
      <c r="EC31">
        <v>75</v>
      </c>
    </row>
    <row r="32" spans="2:133">
      <c r="B32" t="s">
        <v>474</v>
      </c>
      <c r="C32">
        <v>3</v>
      </c>
      <c r="D32" t="s">
        <v>472</v>
      </c>
      <c r="E32">
        <v>2</v>
      </c>
      <c r="F32" t="s">
        <v>481</v>
      </c>
      <c r="G32">
        <v>21</v>
      </c>
      <c r="H32" t="s">
        <v>521</v>
      </c>
      <c r="I32">
        <v>0</v>
      </c>
      <c r="J32">
        <v>1</v>
      </c>
      <c r="K32" t="s">
        <v>478</v>
      </c>
      <c r="L32" t="s">
        <v>479</v>
      </c>
      <c r="Y32">
        <v>96</v>
      </c>
      <c r="Z32">
        <v>75</v>
      </c>
      <c r="AA32">
        <v>93.86</v>
      </c>
      <c r="AB32">
        <v>75</v>
      </c>
      <c r="AC32">
        <v>29</v>
      </c>
      <c r="AF32">
        <v>75</v>
      </c>
      <c r="AG32">
        <v>52</v>
      </c>
      <c r="AH32">
        <v>63.062869999999997</v>
      </c>
      <c r="AI32">
        <v>75</v>
      </c>
      <c r="AJ32">
        <v>370</v>
      </c>
      <c r="AK32">
        <v>6290</v>
      </c>
      <c r="AL32">
        <v>6853.3710000000001</v>
      </c>
      <c r="AM32">
        <v>0</v>
      </c>
      <c r="AN32">
        <v>6853.3710000000001</v>
      </c>
      <c r="AR32">
        <v>3209.2539999999999</v>
      </c>
      <c r="AS32">
        <v>307.05220000000003</v>
      </c>
      <c r="AT32">
        <v>200.423</v>
      </c>
      <c r="AU32" t="s">
        <v>476</v>
      </c>
      <c r="AV32">
        <v>0</v>
      </c>
      <c r="AW32">
        <v>0</v>
      </c>
      <c r="AX32">
        <v>0</v>
      </c>
      <c r="AY32">
        <v>1</v>
      </c>
      <c r="AZ32">
        <v>307.05220000000003</v>
      </c>
      <c r="BA32">
        <v>0</v>
      </c>
      <c r="BB32">
        <v>0</v>
      </c>
      <c r="BE32">
        <v>370</v>
      </c>
      <c r="BF32">
        <v>715.38390000000004</v>
      </c>
      <c r="BG32">
        <v>898.65610000000004</v>
      </c>
      <c r="BH32">
        <v>64</v>
      </c>
      <c r="BI32">
        <v>214.86689999999999</v>
      </c>
      <c r="BJ32">
        <v>488.9984</v>
      </c>
      <c r="BK32">
        <v>72</v>
      </c>
      <c r="BL32">
        <v>3794.9690000000001</v>
      </c>
      <c r="BM32">
        <v>1821.6</v>
      </c>
      <c r="BN32">
        <v>0</v>
      </c>
      <c r="BO32">
        <v>0</v>
      </c>
      <c r="BP32">
        <v>0</v>
      </c>
      <c r="BQ32">
        <v>0</v>
      </c>
      <c r="BR32">
        <v>0</v>
      </c>
      <c r="BS32">
        <v>224</v>
      </c>
      <c r="BT32">
        <v>802.53549999999996</v>
      </c>
      <c r="BU32">
        <v>370</v>
      </c>
      <c r="BV32">
        <v>1325.617</v>
      </c>
      <c r="BW32">
        <v>0</v>
      </c>
      <c r="BX32">
        <v>0</v>
      </c>
      <c r="BY32">
        <v>0</v>
      </c>
      <c r="BZ32">
        <v>0</v>
      </c>
      <c r="CA32">
        <v>0</v>
      </c>
      <c r="CB32">
        <v>2128.152</v>
      </c>
      <c r="CC32">
        <v>0</v>
      </c>
      <c r="CD32">
        <v>0</v>
      </c>
      <c r="CE32">
        <v>0</v>
      </c>
      <c r="CF32">
        <v>0</v>
      </c>
      <c r="CL32" t="s">
        <v>477</v>
      </c>
      <c r="CM32">
        <v>0</v>
      </c>
      <c r="CN32">
        <v>0</v>
      </c>
      <c r="CQ32" t="s">
        <v>477</v>
      </c>
      <c r="CR32">
        <v>0</v>
      </c>
      <c r="CS32">
        <v>0</v>
      </c>
      <c r="CU32">
        <v>0</v>
      </c>
      <c r="CV32">
        <v>0</v>
      </c>
      <c r="CW32" t="s">
        <v>477</v>
      </c>
      <c r="CX32">
        <v>0</v>
      </c>
      <c r="CY32">
        <v>0</v>
      </c>
      <c r="CZ32">
        <v>0</v>
      </c>
      <c r="DA32" t="s">
        <v>477</v>
      </c>
      <c r="DB32">
        <v>0</v>
      </c>
      <c r="DC32">
        <v>0</v>
      </c>
      <c r="DN32">
        <v>0</v>
      </c>
      <c r="DO32">
        <v>0</v>
      </c>
    </row>
    <row r="33" spans="2:119">
      <c r="B33" t="s">
        <v>474</v>
      </c>
      <c r="C33">
        <v>3</v>
      </c>
      <c r="D33" t="s">
        <v>472</v>
      </c>
      <c r="E33">
        <v>2</v>
      </c>
      <c r="F33" t="s">
        <v>481</v>
      </c>
      <c r="G33">
        <v>22</v>
      </c>
      <c r="H33" t="s">
        <v>523</v>
      </c>
      <c r="I33">
        <v>0</v>
      </c>
      <c r="J33">
        <v>1</v>
      </c>
      <c r="K33" t="s">
        <v>478</v>
      </c>
      <c r="L33" t="s">
        <v>482</v>
      </c>
      <c r="Y33">
        <v>96</v>
      </c>
      <c r="Z33">
        <v>75</v>
      </c>
      <c r="AA33">
        <v>95.358000000000004</v>
      </c>
      <c r="AB33">
        <v>75</v>
      </c>
      <c r="AC33">
        <v>29</v>
      </c>
      <c r="AF33">
        <v>75</v>
      </c>
      <c r="AG33">
        <v>52</v>
      </c>
      <c r="AH33">
        <v>63.062869999999997</v>
      </c>
      <c r="AI33">
        <v>75</v>
      </c>
      <c r="AJ33">
        <v>448</v>
      </c>
      <c r="AK33">
        <v>7616</v>
      </c>
      <c r="AL33">
        <v>3296.38</v>
      </c>
      <c r="AM33">
        <v>0</v>
      </c>
      <c r="AN33">
        <v>3296.38</v>
      </c>
      <c r="AR33">
        <v>1088.1020000000001</v>
      </c>
      <c r="AS33">
        <v>268.8</v>
      </c>
      <c r="AT33">
        <v>67.953729999999993</v>
      </c>
      <c r="AU33" t="s">
        <v>476</v>
      </c>
      <c r="AV33">
        <v>0</v>
      </c>
      <c r="AW33">
        <v>0</v>
      </c>
      <c r="AX33">
        <v>0</v>
      </c>
      <c r="AY33">
        <v>1</v>
      </c>
      <c r="AZ33">
        <v>268.8</v>
      </c>
      <c r="BA33">
        <v>0</v>
      </c>
      <c r="BB33">
        <v>0</v>
      </c>
      <c r="BE33">
        <v>448</v>
      </c>
      <c r="BF33">
        <v>888.77369999999996</v>
      </c>
      <c r="BG33">
        <v>1088.1020000000001</v>
      </c>
      <c r="BH33">
        <v>0</v>
      </c>
      <c r="BI33">
        <v>0</v>
      </c>
      <c r="BJ33">
        <v>0</v>
      </c>
      <c r="BK33">
        <v>0</v>
      </c>
      <c r="BL33">
        <v>0</v>
      </c>
      <c r="BM33">
        <v>0</v>
      </c>
      <c r="BN33">
        <v>0</v>
      </c>
      <c r="BO33">
        <v>0</v>
      </c>
      <c r="BP33">
        <v>0</v>
      </c>
      <c r="BQ33">
        <v>0</v>
      </c>
      <c r="BR33">
        <v>0</v>
      </c>
      <c r="BS33">
        <v>224</v>
      </c>
      <c r="BT33">
        <v>802.53549999999996</v>
      </c>
      <c r="BU33">
        <v>448</v>
      </c>
      <c r="BV33">
        <v>1605.0709999999999</v>
      </c>
      <c r="BW33">
        <v>0</v>
      </c>
      <c r="BX33">
        <v>0</v>
      </c>
      <c r="BY33">
        <v>0</v>
      </c>
      <c r="BZ33">
        <v>0</v>
      </c>
      <c r="CA33">
        <v>0</v>
      </c>
      <c r="CB33">
        <v>2407.6060000000002</v>
      </c>
      <c r="CC33">
        <v>0</v>
      </c>
      <c r="CD33">
        <v>0</v>
      </c>
      <c r="CE33">
        <v>0</v>
      </c>
      <c r="CF33">
        <v>0</v>
      </c>
      <c r="CL33" t="s">
        <v>477</v>
      </c>
      <c r="CM33">
        <v>0</v>
      </c>
      <c r="CN33">
        <v>0</v>
      </c>
      <c r="CQ33" t="s">
        <v>477</v>
      </c>
      <c r="CR33">
        <v>0</v>
      </c>
      <c r="CS33">
        <v>0</v>
      </c>
      <c r="CU33">
        <v>0</v>
      </c>
      <c r="CV33">
        <v>0</v>
      </c>
      <c r="CW33" t="s">
        <v>477</v>
      </c>
      <c r="CX33">
        <v>0</v>
      </c>
      <c r="CY33">
        <v>0</v>
      </c>
      <c r="CZ33">
        <v>0</v>
      </c>
      <c r="DA33" t="s">
        <v>477</v>
      </c>
      <c r="DB33">
        <v>0</v>
      </c>
      <c r="DC33">
        <v>0</v>
      </c>
      <c r="DN33">
        <v>0</v>
      </c>
      <c r="DO33">
        <v>0</v>
      </c>
    </row>
    <row r="34" spans="2:119">
      <c r="B34" t="s">
        <v>474</v>
      </c>
      <c r="C34">
        <v>3</v>
      </c>
      <c r="D34" t="s">
        <v>472</v>
      </c>
      <c r="E34">
        <v>2</v>
      </c>
      <c r="F34" t="s">
        <v>481</v>
      </c>
      <c r="G34">
        <v>23</v>
      </c>
      <c r="H34" t="s">
        <v>524</v>
      </c>
      <c r="I34">
        <v>0</v>
      </c>
      <c r="J34">
        <v>1</v>
      </c>
      <c r="K34" t="s">
        <v>478</v>
      </c>
      <c r="L34" t="s">
        <v>522</v>
      </c>
      <c r="Y34">
        <v>96</v>
      </c>
      <c r="Z34">
        <v>75</v>
      </c>
      <c r="AA34">
        <v>95.358000000000004</v>
      </c>
      <c r="AB34">
        <v>75</v>
      </c>
      <c r="AC34">
        <v>29</v>
      </c>
      <c r="AF34">
        <v>75</v>
      </c>
      <c r="AG34">
        <v>52</v>
      </c>
      <c r="AH34">
        <v>63.062869999999997</v>
      </c>
      <c r="AI34">
        <v>75</v>
      </c>
      <c r="AJ34">
        <v>270</v>
      </c>
      <c r="AK34">
        <v>4590</v>
      </c>
      <c r="AL34">
        <v>5821.3630000000003</v>
      </c>
      <c r="AM34">
        <v>1050</v>
      </c>
      <c r="AN34">
        <v>6871.3630000000003</v>
      </c>
      <c r="AR34">
        <v>2653.317</v>
      </c>
      <c r="AS34">
        <v>260.815</v>
      </c>
      <c r="AT34">
        <v>165.7039</v>
      </c>
      <c r="AU34" t="s">
        <v>476</v>
      </c>
      <c r="AV34">
        <v>0</v>
      </c>
      <c r="AW34">
        <v>0</v>
      </c>
      <c r="AX34">
        <v>0</v>
      </c>
      <c r="AY34">
        <v>1</v>
      </c>
      <c r="AZ34">
        <v>260.815</v>
      </c>
      <c r="BA34">
        <v>0</v>
      </c>
      <c r="BB34">
        <v>0</v>
      </c>
      <c r="BE34">
        <v>270</v>
      </c>
      <c r="BF34">
        <v>474.40890000000002</v>
      </c>
      <c r="BG34">
        <v>655.77610000000004</v>
      </c>
      <c r="BH34">
        <v>162.1</v>
      </c>
      <c r="BI34">
        <v>457.47699999999998</v>
      </c>
      <c r="BJ34">
        <v>1238.5409999999999</v>
      </c>
      <c r="BK34">
        <v>30</v>
      </c>
      <c r="BL34">
        <v>907.83</v>
      </c>
      <c r="BM34">
        <v>759</v>
      </c>
      <c r="BN34">
        <v>0</v>
      </c>
      <c r="BO34">
        <v>0</v>
      </c>
      <c r="BP34">
        <v>0</v>
      </c>
      <c r="BQ34">
        <v>0</v>
      </c>
      <c r="BR34">
        <v>0</v>
      </c>
      <c r="BS34">
        <v>378</v>
      </c>
      <c r="BT34">
        <v>1354.279</v>
      </c>
      <c r="BU34">
        <v>367</v>
      </c>
      <c r="BV34">
        <v>1314.8679999999999</v>
      </c>
      <c r="BW34">
        <v>0</v>
      </c>
      <c r="BX34">
        <v>0</v>
      </c>
      <c r="BY34">
        <v>5</v>
      </c>
      <c r="BZ34">
        <v>1312.5</v>
      </c>
      <c r="CA34">
        <v>1050</v>
      </c>
      <c r="CB34">
        <v>3981.6469999999999</v>
      </c>
      <c r="CC34">
        <v>1050</v>
      </c>
      <c r="CD34">
        <v>0</v>
      </c>
      <c r="CE34">
        <v>0</v>
      </c>
      <c r="CF34">
        <v>0</v>
      </c>
      <c r="CL34" t="s">
        <v>477</v>
      </c>
      <c r="CM34">
        <v>0</v>
      </c>
      <c r="CN34">
        <v>0</v>
      </c>
      <c r="CQ34" t="s">
        <v>477</v>
      </c>
      <c r="CR34">
        <v>0</v>
      </c>
      <c r="CS34">
        <v>0</v>
      </c>
      <c r="CU34">
        <v>0</v>
      </c>
      <c r="CV34">
        <v>0</v>
      </c>
      <c r="CW34" t="s">
        <v>477</v>
      </c>
      <c r="CX34">
        <v>0</v>
      </c>
      <c r="CY34">
        <v>0</v>
      </c>
      <c r="CZ34">
        <v>0</v>
      </c>
      <c r="DA34" t="s">
        <v>477</v>
      </c>
      <c r="DB34">
        <v>0</v>
      </c>
      <c r="DC34">
        <v>0</v>
      </c>
      <c r="DN34">
        <v>0</v>
      </c>
      <c r="DO34">
        <v>0</v>
      </c>
    </row>
    <row r="35" spans="2:119">
      <c r="B35" t="s">
        <v>474</v>
      </c>
      <c r="C35">
        <v>3</v>
      </c>
      <c r="D35" t="s">
        <v>472</v>
      </c>
      <c r="E35">
        <v>2</v>
      </c>
      <c r="F35" t="s">
        <v>481</v>
      </c>
      <c r="G35">
        <v>24</v>
      </c>
      <c r="H35" t="s">
        <v>526</v>
      </c>
      <c r="I35">
        <v>0</v>
      </c>
      <c r="J35">
        <v>1</v>
      </c>
      <c r="K35" t="s">
        <v>478</v>
      </c>
      <c r="L35" t="s">
        <v>482</v>
      </c>
      <c r="Y35">
        <v>96</v>
      </c>
      <c r="Z35">
        <v>75</v>
      </c>
      <c r="AA35">
        <v>95.358000000000004</v>
      </c>
      <c r="AB35">
        <v>75</v>
      </c>
      <c r="AC35">
        <v>29</v>
      </c>
      <c r="AF35">
        <v>75</v>
      </c>
      <c r="AG35">
        <v>52</v>
      </c>
      <c r="AH35">
        <v>63.062869999999997</v>
      </c>
      <c r="AI35">
        <v>75</v>
      </c>
      <c r="AJ35">
        <v>800</v>
      </c>
      <c r="AK35">
        <v>13600</v>
      </c>
      <c r="AL35">
        <v>18198.47</v>
      </c>
      <c r="AM35">
        <v>5460</v>
      </c>
      <c r="AN35">
        <v>23658.47</v>
      </c>
      <c r="AR35">
        <v>4499.1090000000004</v>
      </c>
      <c r="AS35">
        <v>815.34739999999999</v>
      </c>
      <c r="AT35">
        <v>280.97649999999999</v>
      </c>
      <c r="AU35" t="s">
        <v>476</v>
      </c>
      <c r="AV35">
        <v>0</v>
      </c>
      <c r="AW35">
        <v>0</v>
      </c>
      <c r="AX35">
        <v>0</v>
      </c>
      <c r="AY35">
        <v>1</v>
      </c>
      <c r="AZ35">
        <v>815.34739999999999</v>
      </c>
      <c r="BA35">
        <v>0</v>
      </c>
      <c r="BB35">
        <v>0</v>
      </c>
      <c r="BE35">
        <v>800</v>
      </c>
      <c r="BF35">
        <v>1587.096</v>
      </c>
      <c r="BG35">
        <v>1943.04</v>
      </c>
      <c r="BH35">
        <v>235.2</v>
      </c>
      <c r="BI35">
        <v>701.07</v>
      </c>
      <c r="BJ35">
        <v>1797.069</v>
      </c>
      <c r="BK35">
        <v>30</v>
      </c>
      <c r="BL35">
        <v>773.32500000000005</v>
      </c>
      <c r="BM35">
        <v>759</v>
      </c>
      <c r="BN35">
        <v>0</v>
      </c>
      <c r="BO35">
        <v>0</v>
      </c>
      <c r="BP35">
        <v>0</v>
      </c>
      <c r="BQ35">
        <v>0</v>
      </c>
      <c r="BR35">
        <v>0</v>
      </c>
      <c r="BS35">
        <v>1120</v>
      </c>
      <c r="BT35">
        <v>4012.6779999999999</v>
      </c>
      <c r="BU35">
        <v>1200</v>
      </c>
      <c r="BV35">
        <v>4299.2979999999998</v>
      </c>
      <c r="BW35">
        <v>0</v>
      </c>
      <c r="BX35">
        <v>0</v>
      </c>
      <c r="BY35">
        <v>26</v>
      </c>
      <c r="BZ35">
        <v>6825</v>
      </c>
      <c r="CA35">
        <v>5460</v>
      </c>
      <c r="CB35">
        <v>15136.97</v>
      </c>
      <c r="CC35">
        <v>5460</v>
      </c>
      <c r="CD35">
        <v>0</v>
      </c>
      <c r="CE35">
        <v>0</v>
      </c>
      <c r="CF35">
        <v>0</v>
      </c>
      <c r="CL35" t="s">
        <v>477</v>
      </c>
      <c r="CM35">
        <v>0</v>
      </c>
      <c r="CN35">
        <v>0</v>
      </c>
      <c r="CQ35" t="s">
        <v>477</v>
      </c>
      <c r="CR35">
        <v>0</v>
      </c>
      <c r="CS35">
        <v>0</v>
      </c>
      <c r="CU35">
        <v>0</v>
      </c>
      <c r="CV35">
        <v>0</v>
      </c>
      <c r="CW35" t="s">
        <v>477</v>
      </c>
      <c r="CX35">
        <v>0</v>
      </c>
      <c r="CY35">
        <v>0</v>
      </c>
      <c r="CZ35">
        <v>0</v>
      </c>
      <c r="DA35" t="s">
        <v>477</v>
      </c>
      <c r="DB35">
        <v>0</v>
      </c>
      <c r="DC35">
        <v>0</v>
      </c>
      <c r="DN35">
        <v>0</v>
      </c>
      <c r="DO35">
        <v>0</v>
      </c>
    </row>
    <row r="36" spans="2:119">
      <c r="B36" t="s">
        <v>474</v>
      </c>
      <c r="C36">
        <v>3</v>
      </c>
      <c r="D36" t="s">
        <v>472</v>
      </c>
      <c r="E36">
        <v>2</v>
      </c>
      <c r="F36" t="s">
        <v>481</v>
      </c>
      <c r="G36">
        <v>25</v>
      </c>
      <c r="H36" t="s">
        <v>527</v>
      </c>
      <c r="I36">
        <v>0</v>
      </c>
      <c r="J36">
        <v>1</v>
      </c>
      <c r="K36" t="s">
        <v>478</v>
      </c>
      <c r="L36" t="s">
        <v>482</v>
      </c>
      <c r="Y36">
        <v>96</v>
      </c>
      <c r="Z36">
        <v>75</v>
      </c>
      <c r="AA36">
        <v>95.358000000000004</v>
      </c>
      <c r="AB36">
        <v>75</v>
      </c>
      <c r="AC36">
        <v>29</v>
      </c>
      <c r="AF36">
        <v>75</v>
      </c>
      <c r="AG36">
        <v>52</v>
      </c>
      <c r="AH36">
        <v>63.062869999999997</v>
      </c>
      <c r="AI36">
        <v>75</v>
      </c>
      <c r="AJ36">
        <v>60</v>
      </c>
      <c r="AK36">
        <v>1020</v>
      </c>
      <c r="AL36">
        <v>789.96550000000002</v>
      </c>
      <c r="AM36">
        <v>210</v>
      </c>
      <c r="AN36">
        <v>999.96550000000002</v>
      </c>
      <c r="AR36">
        <v>145.72800000000001</v>
      </c>
      <c r="AS36">
        <v>50</v>
      </c>
      <c r="AT36">
        <v>9.1009449999999994</v>
      </c>
      <c r="AU36" t="s">
        <v>476</v>
      </c>
      <c r="AV36">
        <v>0</v>
      </c>
      <c r="AW36">
        <v>0</v>
      </c>
      <c r="AX36">
        <v>0</v>
      </c>
      <c r="AY36">
        <v>1</v>
      </c>
      <c r="AZ36">
        <v>50</v>
      </c>
      <c r="BA36">
        <v>0</v>
      </c>
      <c r="BB36">
        <v>0</v>
      </c>
      <c r="BE36">
        <v>60</v>
      </c>
      <c r="BF36">
        <v>119.0322</v>
      </c>
      <c r="BG36">
        <v>145.72800000000001</v>
      </c>
      <c r="BH36">
        <v>0</v>
      </c>
      <c r="BI36">
        <v>0</v>
      </c>
      <c r="BJ36">
        <v>0</v>
      </c>
      <c r="BK36">
        <v>0</v>
      </c>
      <c r="BL36">
        <v>0</v>
      </c>
      <c r="BM36">
        <v>0</v>
      </c>
      <c r="BN36">
        <v>0</v>
      </c>
      <c r="BO36">
        <v>0</v>
      </c>
      <c r="BP36">
        <v>0</v>
      </c>
      <c r="BQ36">
        <v>0</v>
      </c>
      <c r="BR36">
        <v>0</v>
      </c>
      <c r="BS36">
        <v>54</v>
      </c>
      <c r="BT36">
        <v>193.4684</v>
      </c>
      <c r="BU36">
        <v>60</v>
      </c>
      <c r="BV36">
        <v>214.9649</v>
      </c>
      <c r="BW36">
        <v>0</v>
      </c>
      <c r="BX36">
        <v>0</v>
      </c>
      <c r="BY36">
        <v>1</v>
      </c>
      <c r="BZ36">
        <v>262.5</v>
      </c>
      <c r="CA36">
        <v>210</v>
      </c>
      <c r="CB36">
        <v>670.93330000000003</v>
      </c>
      <c r="CC36">
        <v>210</v>
      </c>
      <c r="CD36">
        <v>0</v>
      </c>
      <c r="CE36">
        <v>0</v>
      </c>
      <c r="CF36">
        <v>0</v>
      </c>
      <c r="CL36" t="s">
        <v>477</v>
      </c>
      <c r="CM36">
        <v>0</v>
      </c>
      <c r="CN36">
        <v>0</v>
      </c>
      <c r="CQ36" t="s">
        <v>477</v>
      </c>
      <c r="CR36">
        <v>0</v>
      </c>
      <c r="CS36">
        <v>0</v>
      </c>
      <c r="CU36">
        <v>0</v>
      </c>
      <c r="CV36">
        <v>0</v>
      </c>
      <c r="CW36" t="s">
        <v>477</v>
      </c>
      <c r="CX36">
        <v>0</v>
      </c>
      <c r="CY36">
        <v>0</v>
      </c>
      <c r="CZ36">
        <v>0</v>
      </c>
      <c r="DA36" t="s">
        <v>477</v>
      </c>
      <c r="DB36">
        <v>0</v>
      </c>
      <c r="DC36">
        <v>0</v>
      </c>
      <c r="DN36">
        <v>0</v>
      </c>
      <c r="DO36">
        <v>0</v>
      </c>
    </row>
    <row r="37" spans="2:119">
      <c r="B37" t="s">
        <v>474</v>
      </c>
      <c r="C37">
        <v>3</v>
      </c>
      <c r="D37" t="s">
        <v>472</v>
      </c>
      <c r="E37">
        <v>2</v>
      </c>
      <c r="F37" t="s">
        <v>481</v>
      </c>
      <c r="G37">
        <v>26</v>
      </c>
      <c r="H37" t="s">
        <v>528</v>
      </c>
      <c r="I37">
        <v>0</v>
      </c>
      <c r="J37">
        <v>1</v>
      </c>
      <c r="K37" t="s">
        <v>478</v>
      </c>
      <c r="L37" t="s">
        <v>482</v>
      </c>
      <c r="Y37">
        <v>96</v>
      </c>
      <c r="Z37">
        <v>75</v>
      </c>
      <c r="AA37">
        <v>95.358000000000004</v>
      </c>
      <c r="AB37">
        <v>75</v>
      </c>
      <c r="AC37">
        <v>29</v>
      </c>
      <c r="AF37">
        <v>75</v>
      </c>
      <c r="AG37">
        <v>52</v>
      </c>
      <c r="AH37">
        <v>63.062869999999997</v>
      </c>
      <c r="AI37">
        <v>75</v>
      </c>
      <c r="AJ37">
        <v>150</v>
      </c>
      <c r="AK37">
        <v>2550</v>
      </c>
      <c r="AL37">
        <v>1264.922</v>
      </c>
      <c r="AM37">
        <v>0</v>
      </c>
      <c r="AN37">
        <v>1264.922</v>
      </c>
      <c r="AR37">
        <v>364.32</v>
      </c>
      <c r="AS37">
        <v>90</v>
      </c>
      <c r="AT37">
        <v>22.752369999999999</v>
      </c>
      <c r="AU37" t="s">
        <v>476</v>
      </c>
      <c r="AV37">
        <v>0</v>
      </c>
      <c r="AW37">
        <v>0</v>
      </c>
      <c r="AX37">
        <v>0</v>
      </c>
      <c r="AY37">
        <v>1</v>
      </c>
      <c r="AZ37">
        <v>90</v>
      </c>
      <c r="BA37">
        <v>0</v>
      </c>
      <c r="BB37">
        <v>0</v>
      </c>
      <c r="BE37">
        <v>150</v>
      </c>
      <c r="BF37">
        <v>297.58049999999997</v>
      </c>
      <c r="BG37">
        <v>364.32</v>
      </c>
      <c r="BH37">
        <v>0</v>
      </c>
      <c r="BI37">
        <v>0</v>
      </c>
      <c r="BJ37">
        <v>0</v>
      </c>
      <c r="BK37">
        <v>0</v>
      </c>
      <c r="BL37">
        <v>0</v>
      </c>
      <c r="BM37">
        <v>0</v>
      </c>
      <c r="BN37">
        <v>0</v>
      </c>
      <c r="BO37">
        <v>0</v>
      </c>
      <c r="BP37">
        <v>0</v>
      </c>
      <c r="BQ37">
        <v>0</v>
      </c>
      <c r="BR37">
        <v>0</v>
      </c>
      <c r="BS37">
        <v>120</v>
      </c>
      <c r="BT37">
        <v>429.9298</v>
      </c>
      <c r="BU37">
        <v>150</v>
      </c>
      <c r="BV37">
        <v>537.41219999999998</v>
      </c>
      <c r="BW37">
        <v>0</v>
      </c>
      <c r="BX37">
        <v>0</v>
      </c>
      <c r="BY37">
        <v>0</v>
      </c>
      <c r="BZ37">
        <v>0</v>
      </c>
      <c r="CA37">
        <v>0</v>
      </c>
      <c r="CB37">
        <v>967.34199999999998</v>
      </c>
      <c r="CC37">
        <v>0</v>
      </c>
      <c r="CD37">
        <v>0</v>
      </c>
      <c r="CE37">
        <v>0</v>
      </c>
      <c r="CF37">
        <v>0</v>
      </c>
      <c r="CL37" t="s">
        <v>477</v>
      </c>
      <c r="CM37">
        <v>0</v>
      </c>
      <c r="CN37">
        <v>0</v>
      </c>
      <c r="CQ37" t="s">
        <v>477</v>
      </c>
      <c r="CR37">
        <v>0</v>
      </c>
      <c r="CS37">
        <v>0</v>
      </c>
      <c r="CU37">
        <v>0</v>
      </c>
      <c r="CV37">
        <v>0</v>
      </c>
      <c r="CW37" t="s">
        <v>477</v>
      </c>
      <c r="CX37">
        <v>0</v>
      </c>
      <c r="CY37">
        <v>0</v>
      </c>
      <c r="CZ37">
        <v>0</v>
      </c>
      <c r="DA37" t="s">
        <v>477</v>
      </c>
      <c r="DB37">
        <v>0</v>
      </c>
      <c r="DC37">
        <v>0</v>
      </c>
      <c r="DN37">
        <v>0</v>
      </c>
      <c r="DO37">
        <v>0</v>
      </c>
    </row>
    <row r="38" spans="2:119">
      <c r="B38" t="s">
        <v>474</v>
      </c>
      <c r="C38">
        <v>3</v>
      </c>
      <c r="D38" t="s">
        <v>472</v>
      </c>
      <c r="E38">
        <v>2</v>
      </c>
      <c r="F38" t="s">
        <v>481</v>
      </c>
      <c r="G38">
        <v>27</v>
      </c>
      <c r="H38" t="s">
        <v>529</v>
      </c>
      <c r="I38">
        <v>0</v>
      </c>
      <c r="J38">
        <v>1</v>
      </c>
      <c r="K38" t="s">
        <v>478</v>
      </c>
      <c r="L38" t="s">
        <v>482</v>
      </c>
      <c r="Y38">
        <v>96</v>
      </c>
      <c r="Z38">
        <v>75</v>
      </c>
      <c r="AA38">
        <v>95.358000000000004</v>
      </c>
      <c r="AB38">
        <v>75</v>
      </c>
      <c r="AC38">
        <v>29</v>
      </c>
      <c r="AF38">
        <v>75</v>
      </c>
      <c r="AG38">
        <v>52</v>
      </c>
      <c r="AH38">
        <v>63.062869999999997</v>
      </c>
      <c r="AI38">
        <v>75</v>
      </c>
      <c r="AJ38">
        <v>185</v>
      </c>
      <c r="AK38">
        <v>3145</v>
      </c>
      <c r="AL38">
        <v>1361.229</v>
      </c>
      <c r="AM38">
        <v>0</v>
      </c>
      <c r="AN38">
        <v>1361.229</v>
      </c>
      <c r="AR38">
        <v>449.32799999999997</v>
      </c>
      <c r="AS38">
        <v>111</v>
      </c>
      <c r="AT38">
        <v>28.061250000000001</v>
      </c>
      <c r="AU38" t="s">
        <v>476</v>
      </c>
      <c r="AV38">
        <v>0</v>
      </c>
      <c r="AW38">
        <v>0</v>
      </c>
      <c r="AX38">
        <v>0</v>
      </c>
      <c r="AY38">
        <v>1</v>
      </c>
      <c r="AZ38">
        <v>111</v>
      </c>
      <c r="BA38">
        <v>0</v>
      </c>
      <c r="BB38">
        <v>0</v>
      </c>
      <c r="BE38">
        <v>185</v>
      </c>
      <c r="BF38">
        <v>367.01589999999999</v>
      </c>
      <c r="BG38">
        <v>449.32799999999997</v>
      </c>
      <c r="BH38">
        <v>0</v>
      </c>
      <c r="BI38">
        <v>0</v>
      </c>
      <c r="BJ38">
        <v>0</v>
      </c>
      <c r="BK38">
        <v>0</v>
      </c>
      <c r="BL38">
        <v>0</v>
      </c>
      <c r="BM38">
        <v>0</v>
      </c>
      <c r="BN38">
        <v>0</v>
      </c>
      <c r="BO38">
        <v>0</v>
      </c>
      <c r="BP38">
        <v>0</v>
      </c>
      <c r="BQ38">
        <v>0</v>
      </c>
      <c r="BR38">
        <v>0</v>
      </c>
      <c r="BS38">
        <v>93</v>
      </c>
      <c r="BT38">
        <v>331.4042</v>
      </c>
      <c r="BU38">
        <v>185</v>
      </c>
      <c r="BV38">
        <v>662.80830000000003</v>
      </c>
      <c r="BW38">
        <v>0</v>
      </c>
      <c r="BX38">
        <v>0</v>
      </c>
      <c r="BY38">
        <v>0</v>
      </c>
      <c r="BZ38">
        <v>0</v>
      </c>
      <c r="CA38">
        <v>0</v>
      </c>
      <c r="CB38">
        <v>994.21249999999998</v>
      </c>
      <c r="CC38">
        <v>0</v>
      </c>
      <c r="CD38">
        <v>0</v>
      </c>
      <c r="CE38">
        <v>0</v>
      </c>
      <c r="CF38">
        <v>0</v>
      </c>
      <c r="CL38" t="s">
        <v>477</v>
      </c>
      <c r="CM38">
        <v>0</v>
      </c>
      <c r="CN38">
        <v>0</v>
      </c>
      <c r="CQ38" t="s">
        <v>477</v>
      </c>
      <c r="CR38">
        <v>0</v>
      </c>
      <c r="CS38">
        <v>0</v>
      </c>
      <c r="CU38">
        <v>0</v>
      </c>
      <c r="CV38">
        <v>0</v>
      </c>
      <c r="CW38" t="s">
        <v>477</v>
      </c>
      <c r="CX38">
        <v>0</v>
      </c>
      <c r="CY38">
        <v>0</v>
      </c>
      <c r="CZ38">
        <v>0</v>
      </c>
      <c r="DA38" t="s">
        <v>477</v>
      </c>
      <c r="DB38">
        <v>0</v>
      </c>
      <c r="DC38">
        <v>0</v>
      </c>
      <c r="DN38">
        <v>0</v>
      </c>
      <c r="DO38">
        <v>0</v>
      </c>
    </row>
    <row r="39" spans="2:119">
      <c r="B39" t="s">
        <v>474</v>
      </c>
      <c r="C39">
        <v>3</v>
      </c>
      <c r="D39" t="s">
        <v>472</v>
      </c>
      <c r="E39">
        <v>2</v>
      </c>
      <c r="F39" t="s">
        <v>481</v>
      </c>
      <c r="G39">
        <v>28</v>
      </c>
      <c r="H39" t="s">
        <v>530</v>
      </c>
      <c r="I39">
        <v>0</v>
      </c>
      <c r="J39">
        <v>1</v>
      </c>
      <c r="K39" t="s">
        <v>478</v>
      </c>
      <c r="L39" t="s">
        <v>482</v>
      </c>
      <c r="Y39">
        <v>96</v>
      </c>
      <c r="Z39">
        <v>75</v>
      </c>
      <c r="AA39">
        <v>95.358000000000004</v>
      </c>
      <c r="AB39">
        <v>75</v>
      </c>
      <c r="AC39">
        <v>29</v>
      </c>
      <c r="AF39">
        <v>75</v>
      </c>
      <c r="AG39">
        <v>52</v>
      </c>
      <c r="AH39">
        <v>63.062869999999997</v>
      </c>
      <c r="AI39">
        <v>75</v>
      </c>
      <c r="AJ39">
        <v>250</v>
      </c>
      <c r="AK39">
        <v>4250</v>
      </c>
      <c r="AL39">
        <v>3247.7730000000001</v>
      </c>
      <c r="AM39">
        <v>839.99990000000003</v>
      </c>
      <c r="AN39">
        <v>4087.7730000000001</v>
      </c>
      <c r="AR39">
        <v>607.20000000000005</v>
      </c>
      <c r="AS39">
        <v>145.5102</v>
      </c>
      <c r="AT39">
        <v>37.920610000000003</v>
      </c>
      <c r="AU39" t="s">
        <v>476</v>
      </c>
      <c r="AV39">
        <v>0</v>
      </c>
      <c r="AW39">
        <v>0</v>
      </c>
      <c r="AX39">
        <v>0</v>
      </c>
      <c r="AY39">
        <v>1</v>
      </c>
      <c r="AZ39">
        <v>145.5102</v>
      </c>
      <c r="BA39">
        <v>0</v>
      </c>
      <c r="BB39">
        <v>0</v>
      </c>
      <c r="BE39">
        <v>250</v>
      </c>
      <c r="BF39">
        <v>495.96749999999997</v>
      </c>
      <c r="BG39">
        <v>607.20000000000005</v>
      </c>
      <c r="BH39">
        <v>0</v>
      </c>
      <c r="BI39">
        <v>0</v>
      </c>
      <c r="BJ39">
        <v>0</v>
      </c>
      <c r="BK39">
        <v>0</v>
      </c>
      <c r="BL39">
        <v>0</v>
      </c>
      <c r="BM39">
        <v>0</v>
      </c>
      <c r="BN39">
        <v>0</v>
      </c>
      <c r="BO39">
        <v>0</v>
      </c>
      <c r="BP39">
        <v>0</v>
      </c>
      <c r="BQ39">
        <v>0</v>
      </c>
      <c r="BR39">
        <v>0</v>
      </c>
      <c r="BS39">
        <v>225</v>
      </c>
      <c r="BT39">
        <v>806.11829999999998</v>
      </c>
      <c r="BU39">
        <v>250</v>
      </c>
      <c r="BV39">
        <v>895.68700000000001</v>
      </c>
      <c r="BW39">
        <v>0</v>
      </c>
      <c r="BX39">
        <v>0</v>
      </c>
      <c r="BY39">
        <v>4</v>
      </c>
      <c r="BZ39">
        <v>1050</v>
      </c>
      <c r="CA39">
        <v>839.99990000000003</v>
      </c>
      <c r="CB39">
        <v>2751.8049999999998</v>
      </c>
      <c r="CC39">
        <v>839.99990000000003</v>
      </c>
      <c r="CD39">
        <v>0</v>
      </c>
      <c r="CE39">
        <v>0</v>
      </c>
      <c r="CF39">
        <v>0</v>
      </c>
      <c r="CL39" t="s">
        <v>477</v>
      </c>
      <c r="CM39">
        <v>0</v>
      </c>
      <c r="CN39">
        <v>0</v>
      </c>
      <c r="CQ39" t="s">
        <v>477</v>
      </c>
      <c r="CR39">
        <v>0</v>
      </c>
      <c r="CS39">
        <v>0</v>
      </c>
      <c r="CU39">
        <v>0</v>
      </c>
      <c r="CV39">
        <v>0</v>
      </c>
      <c r="CW39" t="s">
        <v>477</v>
      </c>
      <c r="CX39">
        <v>0</v>
      </c>
      <c r="CY39">
        <v>0</v>
      </c>
      <c r="CZ39">
        <v>0</v>
      </c>
      <c r="DA39" t="s">
        <v>477</v>
      </c>
      <c r="DB39">
        <v>0</v>
      </c>
      <c r="DC39">
        <v>0</v>
      </c>
      <c r="DN39">
        <v>0</v>
      </c>
      <c r="DO39">
        <v>0</v>
      </c>
    </row>
    <row r="40" spans="2:119">
      <c r="B40" t="s">
        <v>474</v>
      </c>
      <c r="C40">
        <v>3</v>
      </c>
      <c r="D40" t="s">
        <v>472</v>
      </c>
      <c r="E40">
        <v>2</v>
      </c>
      <c r="F40" t="s">
        <v>481</v>
      </c>
      <c r="G40">
        <v>29</v>
      </c>
      <c r="H40" t="s">
        <v>531</v>
      </c>
      <c r="I40">
        <v>0</v>
      </c>
      <c r="J40">
        <v>1</v>
      </c>
      <c r="K40" t="s">
        <v>478</v>
      </c>
      <c r="L40" t="s">
        <v>482</v>
      </c>
      <c r="Y40">
        <v>96</v>
      </c>
      <c r="Z40">
        <v>75</v>
      </c>
      <c r="AA40">
        <v>95.358000000000004</v>
      </c>
      <c r="AB40">
        <v>75</v>
      </c>
      <c r="AC40">
        <v>29</v>
      </c>
      <c r="AF40">
        <v>75</v>
      </c>
      <c r="AG40">
        <v>52</v>
      </c>
      <c r="AH40">
        <v>63.062869999999997</v>
      </c>
      <c r="AI40">
        <v>75</v>
      </c>
      <c r="AJ40">
        <v>130</v>
      </c>
      <c r="AK40">
        <v>2210</v>
      </c>
      <c r="AL40">
        <v>2192.8420000000001</v>
      </c>
      <c r="AM40">
        <v>839.99990000000003</v>
      </c>
      <c r="AN40">
        <v>3032.8420000000001</v>
      </c>
      <c r="AR40">
        <v>315.74400000000003</v>
      </c>
      <c r="AS40">
        <v>98.246070000000003</v>
      </c>
      <c r="AT40">
        <v>19.718720000000001</v>
      </c>
      <c r="AU40" t="s">
        <v>476</v>
      </c>
      <c r="AV40">
        <v>0</v>
      </c>
      <c r="AW40">
        <v>0</v>
      </c>
      <c r="AX40">
        <v>0</v>
      </c>
      <c r="AY40">
        <v>1</v>
      </c>
      <c r="AZ40">
        <v>98.246070000000003</v>
      </c>
      <c r="BA40">
        <v>0</v>
      </c>
      <c r="BB40">
        <v>0</v>
      </c>
      <c r="BE40">
        <v>130</v>
      </c>
      <c r="BF40">
        <v>257.90309999999999</v>
      </c>
      <c r="BG40">
        <v>315.74400000000003</v>
      </c>
      <c r="BH40">
        <v>0</v>
      </c>
      <c r="BI40">
        <v>0</v>
      </c>
      <c r="BJ40">
        <v>0</v>
      </c>
      <c r="BK40">
        <v>0</v>
      </c>
      <c r="BL40">
        <v>0</v>
      </c>
      <c r="BM40">
        <v>0</v>
      </c>
      <c r="BN40">
        <v>0</v>
      </c>
      <c r="BO40">
        <v>0</v>
      </c>
      <c r="BP40">
        <v>0</v>
      </c>
      <c r="BQ40">
        <v>0</v>
      </c>
      <c r="BR40">
        <v>0</v>
      </c>
      <c r="BS40">
        <v>117</v>
      </c>
      <c r="BT40">
        <v>419.18150000000003</v>
      </c>
      <c r="BU40">
        <v>130</v>
      </c>
      <c r="BV40">
        <v>465.75720000000001</v>
      </c>
      <c r="BW40">
        <v>0</v>
      </c>
      <c r="BX40">
        <v>0</v>
      </c>
      <c r="BY40">
        <v>4</v>
      </c>
      <c r="BZ40">
        <v>1050</v>
      </c>
      <c r="CA40">
        <v>839.99990000000003</v>
      </c>
      <c r="CB40">
        <v>1934.9390000000001</v>
      </c>
      <c r="CC40">
        <v>839.99990000000003</v>
      </c>
      <c r="CD40">
        <v>0</v>
      </c>
      <c r="CE40">
        <v>0</v>
      </c>
      <c r="CF40">
        <v>0</v>
      </c>
      <c r="CL40" t="s">
        <v>477</v>
      </c>
      <c r="CM40">
        <v>0</v>
      </c>
      <c r="CN40">
        <v>0</v>
      </c>
      <c r="CQ40" t="s">
        <v>477</v>
      </c>
      <c r="CR40">
        <v>0</v>
      </c>
      <c r="CS40">
        <v>0</v>
      </c>
      <c r="CU40">
        <v>0</v>
      </c>
      <c r="CV40">
        <v>0</v>
      </c>
      <c r="CW40" t="s">
        <v>477</v>
      </c>
      <c r="CX40">
        <v>0</v>
      </c>
      <c r="CY40">
        <v>0</v>
      </c>
      <c r="CZ40">
        <v>0</v>
      </c>
      <c r="DA40" t="s">
        <v>477</v>
      </c>
      <c r="DB40">
        <v>0</v>
      </c>
      <c r="DC40">
        <v>0</v>
      </c>
      <c r="DN40">
        <v>0</v>
      </c>
      <c r="DO40">
        <v>0</v>
      </c>
    </row>
    <row r="41" spans="2:119">
      <c r="B41" t="s">
        <v>474</v>
      </c>
      <c r="C41">
        <v>3</v>
      </c>
      <c r="D41" t="s">
        <v>472</v>
      </c>
      <c r="E41">
        <v>2</v>
      </c>
      <c r="F41" t="s">
        <v>481</v>
      </c>
      <c r="G41">
        <v>30</v>
      </c>
      <c r="H41" t="s">
        <v>532</v>
      </c>
      <c r="I41">
        <v>0</v>
      </c>
      <c r="J41">
        <v>1</v>
      </c>
      <c r="K41" t="s">
        <v>478</v>
      </c>
      <c r="L41" t="s">
        <v>482</v>
      </c>
      <c r="Y41">
        <v>96</v>
      </c>
      <c r="Z41">
        <v>75</v>
      </c>
      <c r="AA41">
        <v>95.358000000000004</v>
      </c>
      <c r="AB41">
        <v>75</v>
      </c>
      <c r="AC41">
        <v>29</v>
      </c>
      <c r="AF41">
        <v>75</v>
      </c>
      <c r="AG41">
        <v>52</v>
      </c>
      <c r="AH41">
        <v>63.062869999999997</v>
      </c>
      <c r="AI41">
        <v>75</v>
      </c>
      <c r="AJ41">
        <v>130</v>
      </c>
      <c r="AK41">
        <v>2210</v>
      </c>
      <c r="AL41">
        <v>2192.8420000000001</v>
      </c>
      <c r="AM41">
        <v>839.99990000000003</v>
      </c>
      <c r="AN41">
        <v>3032.8420000000001</v>
      </c>
      <c r="AR41">
        <v>315.74400000000003</v>
      </c>
      <c r="AS41">
        <v>98.246070000000003</v>
      </c>
      <c r="AT41">
        <v>19.718720000000001</v>
      </c>
      <c r="AU41" t="s">
        <v>476</v>
      </c>
      <c r="AV41">
        <v>0</v>
      </c>
      <c r="AW41">
        <v>0</v>
      </c>
      <c r="AX41">
        <v>0</v>
      </c>
      <c r="AY41">
        <v>1</v>
      </c>
      <c r="AZ41">
        <v>98.246070000000003</v>
      </c>
      <c r="BA41">
        <v>0</v>
      </c>
      <c r="BB41">
        <v>0</v>
      </c>
      <c r="BE41">
        <v>130</v>
      </c>
      <c r="BF41">
        <v>257.90309999999999</v>
      </c>
      <c r="BG41">
        <v>315.74400000000003</v>
      </c>
      <c r="BH41">
        <v>0</v>
      </c>
      <c r="BI41">
        <v>0</v>
      </c>
      <c r="BJ41">
        <v>0</v>
      </c>
      <c r="BK41">
        <v>0</v>
      </c>
      <c r="BL41">
        <v>0</v>
      </c>
      <c r="BM41">
        <v>0</v>
      </c>
      <c r="BN41">
        <v>0</v>
      </c>
      <c r="BO41">
        <v>0</v>
      </c>
      <c r="BP41">
        <v>0</v>
      </c>
      <c r="BQ41">
        <v>0</v>
      </c>
      <c r="BR41">
        <v>0</v>
      </c>
      <c r="BS41">
        <v>117</v>
      </c>
      <c r="BT41">
        <v>419.18150000000003</v>
      </c>
      <c r="BU41">
        <v>130</v>
      </c>
      <c r="BV41">
        <v>465.75720000000001</v>
      </c>
      <c r="BW41">
        <v>0</v>
      </c>
      <c r="BX41">
        <v>0</v>
      </c>
      <c r="BY41">
        <v>4</v>
      </c>
      <c r="BZ41">
        <v>1050</v>
      </c>
      <c r="CA41">
        <v>839.99990000000003</v>
      </c>
      <c r="CB41">
        <v>1934.9390000000001</v>
      </c>
      <c r="CC41">
        <v>839.99990000000003</v>
      </c>
      <c r="CD41">
        <v>0</v>
      </c>
      <c r="CE41">
        <v>0</v>
      </c>
      <c r="CF41">
        <v>0</v>
      </c>
      <c r="CL41" t="s">
        <v>477</v>
      </c>
      <c r="CM41">
        <v>0</v>
      </c>
      <c r="CN41">
        <v>0</v>
      </c>
      <c r="CQ41" t="s">
        <v>477</v>
      </c>
      <c r="CR41">
        <v>0</v>
      </c>
      <c r="CS41">
        <v>0</v>
      </c>
      <c r="CU41">
        <v>0</v>
      </c>
      <c r="CV41">
        <v>0</v>
      </c>
      <c r="CW41" t="s">
        <v>477</v>
      </c>
      <c r="CX41">
        <v>0</v>
      </c>
      <c r="CY41">
        <v>0</v>
      </c>
      <c r="CZ41">
        <v>0</v>
      </c>
      <c r="DA41" t="s">
        <v>477</v>
      </c>
      <c r="DB41">
        <v>0</v>
      </c>
      <c r="DC41">
        <v>0</v>
      </c>
      <c r="DN41">
        <v>0</v>
      </c>
      <c r="DO41">
        <v>0</v>
      </c>
    </row>
    <row r="42" spans="2:119">
      <c r="B42" t="s">
        <v>474</v>
      </c>
      <c r="C42">
        <v>3</v>
      </c>
      <c r="D42" t="s">
        <v>472</v>
      </c>
      <c r="E42">
        <v>2</v>
      </c>
      <c r="F42" t="s">
        <v>481</v>
      </c>
      <c r="G42">
        <v>31</v>
      </c>
      <c r="H42" t="s">
        <v>533</v>
      </c>
      <c r="I42">
        <v>0</v>
      </c>
      <c r="J42">
        <v>1</v>
      </c>
      <c r="K42" t="s">
        <v>478</v>
      </c>
      <c r="L42" t="s">
        <v>482</v>
      </c>
      <c r="Y42">
        <v>96</v>
      </c>
      <c r="Z42">
        <v>75</v>
      </c>
      <c r="AA42">
        <v>95.358000000000004</v>
      </c>
      <c r="AB42">
        <v>75</v>
      </c>
      <c r="AC42">
        <v>29</v>
      </c>
      <c r="AF42">
        <v>75</v>
      </c>
      <c r="AG42">
        <v>52</v>
      </c>
      <c r="AH42">
        <v>63.062869999999997</v>
      </c>
      <c r="AI42">
        <v>75</v>
      </c>
      <c r="AJ42">
        <v>225</v>
      </c>
      <c r="AK42">
        <v>3825</v>
      </c>
      <c r="AL42">
        <v>1897.384</v>
      </c>
      <c r="AM42">
        <v>0</v>
      </c>
      <c r="AN42">
        <v>1897.384</v>
      </c>
      <c r="AR42">
        <v>546.48</v>
      </c>
      <c r="AS42">
        <v>135</v>
      </c>
      <c r="AT42">
        <v>34.128549999999997</v>
      </c>
      <c r="AU42" t="s">
        <v>476</v>
      </c>
      <c r="AV42">
        <v>0</v>
      </c>
      <c r="AW42">
        <v>0</v>
      </c>
      <c r="AX42">
        <v>0</v>
      </c>
      <c r="AY42">
        <v>1</v>
      </c>
      <c r="AZ42">
        <v>135</v>
      </c>
      <c r="BA42">
        <v>0</v>
      </c>
      <c r="BB42">
        <v>0</v>
      </c>
      <c r="BE42">
        <v>225</v>
      </c>
      <c r="BF42">
        <v>446.3707</v>
      </c>
      <c r="BG42">
        <v>546.48</v>
      </c>
      <c r="BH42">
        <v>0</v>
      </c>
      <c r="BI42">
        <v>0</v>
      </c>
      <c r="BJ42">
        <v>0</v>
      </c>
      <c r="BK42">
        <v>0</v>
      </c>
      <c r="BL42">
        <v>0</v>
      </c>
      <c r="BM42">
        <v>0</v>
      </c>
      <c r="BN42">
        <v>0</v>
      </c>
      <c r="BO42">
        <v>0</v>
      </c>
      <c r="BP42">
        <v>0</v>
      </c>
      <c r="BQ42">
        <v>0</v>
      </c>
      <c r="BR42">
        <v>0</v>
      </c>
      <c r="BS42">
        <v>180</v>
      </c>
      <c r="BT42">
        <v>644.89469999999994</v>
      </c>
      <c r="BU42">
        <v>225</v>
      </c>
      <c r="BV42">
        <v>806.11829999999998</v>
      </c>
      <c r="BW42">
        <v>0</v>
      </c>
      <c r="BX42">
        <v>0</v>
      </c>
      <c r="BY42">
        <v>0</v>
      </c>
      <c r="BZ42">
        <v>0</v>
      </c>
      <c r="CA42">
        <v>0</v>
      </c>
      <c r="CB42">
        <v>1451.0129999999999</v>
      </c>
      <c r="CC42">
        <v>0</v>
      </c>
      <c r="CD42">
        <v>0</v>
      </c>
      <c r="CE42">
        <v>0</v>
      </c>
      <c r="CF42">
        <v>0</v>
      </c>
      <c r="CL42" t="s">
        <v>477</v>
      </c>
      <c r="CM42">
        <v>0</v>
      </c>
      <c r="CN42">
        <v>0</v>
      </c>
      <c r="CQ42" t="s">
        <v>477</v>
      </c>
      <c r="CR42">
        <v>0</v>
      </c>
      <c r="CS42">
        <v>0</v>
      </c>
      <c r="CU42">
        <v>0</v>
      </c>
      <c r="CV42">
        <v>0</v>
      </c>
      <c r="CW42" t="s">
        <v>477</v>
      </c>
      <c r="CX42">
        <v>0</v>
      </c>
      <c r="CY42">
        <v>0</v>
      </c>
      <c r="CZ42">
        <v>0</v>
      </c>
      <c r="DA42" t="s">
        <v>477</v>
      </c>
      <c r="DB42">
        <v>0</v>
      </c>
      <c r="DC42">
        <v>0</v>
      </c>
      <c r="DN42">
        <v>0</v>
      </c>
      <c r="DO42">
        <v>0</v>
      </c>
    </row>
    <row r="43" spans="2:119">
      <c r="B43" t="s">
        <v>474</v>
      </c>
      <c r="C43">
        <v>3</v>
      </c>
      <c r="D43" t="s">
        <v>472</v>
      </c>
      <c r="E43">
        <v>2</v>
      </c>
      <c r="F43" t="s">
        <v>481</v>
      </c>
      <c r="G43">
        <v>32</v>
      </c>
      <c r="H43" t="s">
        <v>534</v>
      </c>
      <c r="I43">
        <v>0</v>
      </c>
      <c r="J43">
        <v>1</v>
      </c>
      <c r="K43" t="s">
        <v>478</v>
      </c>
      <c r="L43" t="s">
        <v>479</v>
      </c>
      <c r="Y43">
        <v>96</v>
      </c>
      <c r="Z43">
        <v>75</v>
      </c>
      <c r="AA43">
        <v>93.86</v>
      </c>
      <c r="AB43">
        <v>75</v>
      </c>
      <c r="AC43">
        <v>29</v>
      </c>
      <c r="AF43">
        <v>75</v>
      </c>
      <c r="AG43">
        <v>52</v>
      </c>
      <c r="AH43">
        <v>63.062869999999997</v>
      </c>
      <c r="AI43">
        <v>75</v>
      </c>
      <c r="AJ43">
        <v>780</v>
      </c>
      <c r="AK43">
        <v>13260</v>
      </c>
      <c r="AL43">
        <v>19920.14</v>
      </c>
      <c r="AM43">
        <v>5460</v>
      </c>
      <c r="AN43">
        <v>25380.14</v>
      </c>
      <c r="AR43">
        <v>6736.6009999999997</v>
      </c>
      <c r="AS43">
        <v>892.4837</v>
      </c>
      <c r="AT43">
        <v>420.7115</v>
      </c>
      <c r="AU43" t="s">
        <v>476</v>
      </c>
      <c r="AV43">
        <v>0</v>
      </c>
      <c r="AW43">
        <v>0</v>
      </c>
      <c r="AX43">
        <v>0</v>
      </c>
      <c r="AY43">
        <v>1</v>
      </c>
      <c r="AZ43">
        <v>892.4837</v>
      </c>
      <c r="BA43">
        <v>0</v>
      </c>
      <c r="BB43">
        <v>0</v>
      </c>
      <c r="BE43">
        <v>780</v>
      </c>
      <c r="BF43">
        <v>1508.107</v>
      </c>
      <c r="BG43">
        <v>1894.4639999999999</v>
      </c>
      <c r="BH43">
        <v>534.4</v>
      </c>
      <c r="BI43">
        <v>1794.1389999999999</v>
      </c>
      <c r="BJ43">
        <v>4083.1370000000002</v>
      </c>
      <c r="BK43">
        <v>30</v>
      </c>
      <c r="BL43">
        <v>1581.2370000000001</v>
      </c>
      <c r="BM43">
        <v>759</v>
      </c>
      <c r="BN43">
        <v>0</v>
      </c>
      <c r="BO43">
        <v>0</v>
      </c>
      <c r="BP43">
        <v>0</v>
      </c>
      <c r="BQ43">
        <v>0</v>
      </c>
      <c r="BR43">
        <v>0</v>
      </c>
      <c r="BS43">
        <v>1092</v>
      </c>
      <c r="BT43">
        <v>3912.3609999999999</v>
      </c>
      <c r="BU43">
        <v>1200</v>
      </c>
      <c r="BV43">
        <v>4299.2979999999998</v>
      </c>
      <c r="BW43">
        <v>0</v>
      </c>
      <c r="BX43">
        <v>0</v>
      </c>
      <c r="BY43">
        <v>26</v>
      </c>
      <c r="BZ43">
        <v>6825</v>
      </c>
      <c r="CA43">
        <v>5460</v>
      </c>
      <c r="CB43">
        <v>15036.66</v>
      </c>
      <c r="CC43">
        <v>5460</v>
      </c>
      <c r="CD43">
        <v>0</v>
      </c>
      <c r="CE43">
        <v>0</v>
      </c>
      <c r="CF43">
        <v>0</v>
      </c>
      <c r="CL43" t="s">
        <v>477</v>
      </c>
      <c r="CM43">
        <v>0</v>
      </c>
      <c r="CN43">
        <v>0</v>
      </c>
      <c r="CQ43" t="s">
        <v>477</v>
      </c>
      <c r="CR43">
        <v>0</v>
      </c>
      <c r="CS43">
        <v>0</v>
      </c>
      <c r="CU43">
        <v>0</v>
      </c>
      <c r="CV43">
        <v>0</v>
      </c>
      <c r="CW43" t="s">
        <v>477</v>
      </c>
      <c r="CX43">
        <v>0</v>
      </c>
      <c r="CY43">
        <v>0</v>
      </c>
      <c r="CZ43">
        <v>0</v>
      </c>
      <c r="DA43" t="s">
        <v>477</v>
      </c>
      <c r="DB43">
        <v>0</v>
      </c>
      <c r="DC43">
        <v>0</v>
      </c>
      <c r="DN43">
        <v>0</v>
      </c>
      <c r="DO43">
        <v>0</v>
      </c>
    </row>
    <row r="44" spans="2:119">
      <c r="B44" t="s">
        <v>474</v>
      </c>
      <c r="C44">
        <v>3</v>
      </c>
      <c r="D44" t="s">
        <v>472</v>
      </c>
      <c r="E44">
        <v>2</v>
      </c>
      <c r="F44" t="s">
        <v>481</v>
      </c>
      <c r="G44">
        <v>33</v>
      </c>
      <c r="H44" t="s">
        <v>535</v>
      </c>
      <c r="I44">
        <v>0</v>
      </c>
      <c r="J44">
        <v>1</v>
      </c>
      <c r="K44" t="s">
        <v>478</v>
      </c>
      <c r="L44" t="s">
        <v>482</v>
      </c>
      <c r="Y44">
        <v>96</v>
      </c>
      <c r="Z44">
        <v>75</v>
      </c>
      <c r="AA44">
        <v>95.358000000000004</v>
      </c>
      <c r="AB44">
        <v>75</v>
      </c>
      <c r="AC44">
        <v>29</v>
      </c>
      <c r="AF44">
        <v>75</v>
      </c>
      <c r="AG44">
        <v>52</v>
      </c>
      <c r="AH44">
        <v>63.062869999999997</v>
      </c>
      <c r="AI44">
        <v>75</v>
      </c>
      <c r="AJ44">
        <v>790</v>
      </c>
      <c r="AK44">
        <v>13430</v>
      </c>
      <c r="AL44">
        <v>19355.43</v>
      </c>
      <c r="AM44">
        <v>5460</v>
      </c>
      <c r="AN44">
        <v>24815.43</v>
      </c>
      <c r="AR44">
        <v>6566.0540000000001</v>
      </c>
      <c r="AS44">
        <v>867.18280000000004</v>
      </c>
      <c r="AT44">
        <v>410.06049999999999</v>
      </c>
      <c r="AU44" t="s">
        <v>476</v>
      </c>
      <c r="AV44">
        <v>0</v>
      </c>
      <c r="AW44">
        <v>0</v>
      </c>
      <c r="AX44">
        <v>0</v>
      </c>
      <c r="AY44">
        <v>1</v>
      </c>
      <c r="AZ44">
        <v>867.18280000000004</v>
      </c>
      <c r="BA44">
        <v>0</v>
      </c>
      <c r="BB44">
        <v>0</v>
      </c>
      <c r="BE44">
        <v>790</v>
      </c>
      <c r="BF44">
        <v>1567.2570000000001</v>
      </c>
      <c r="BG44">
        <v>1918.752</v>
      </c>
      <c r="BH44">
        <v>508.9</v>
      </c>
      <c r="BI44">
        <v>1911.492</v>
      </c>
      <c r="BJ44">
        <v>3888.3009999999999</v>
      </c>
      <c r="BK44">
        <v>30</v>
      </c>
      <c r="BL44">
        <v>789.86249999999995</v>
      </c>
      <c r="BM44">
        <v>759</v>
      </c>
      <c r="BN44">
        <v>0</v>
      </c>
      <c r="BO44">
        <v>0</v>
      </c>
      <c r="BP44">
        <v>0</v>
      </c>
      <c r="BQ44">
        <v>0</v>
      </c>
      <c r="BR44">
        <v>0</v>
      </c>
      <c r="BS44">
        <v>1106</v>
      </c>
      <c r="BT44">
        <v>3962.5189999999998</v>
      </c>
      <c r="BU44">
        <v>1200</v>
      </c>
      <c r="BV44">
        <v>4299.2979999999998</v>
      </c>
      <c r="BW44">
        <v>0</v>
      </c>
      <c r="BX44">
        <v>0</v>
      </c>
      <c r="BY44">
        <v>26</v>
      </c>
      <c r="BZ44">
        <v>6825</v>
      </c>
      <c r="CA44">
        <v>5460</v>
      </c>
      <c r="CB44">
        <v>15086.82</v>
      </c>
      <c r="CC44">
        <v>5460</v>
      </c>
      <c r="CD44">
        <v>0</v>
      </c>
      <c r="CE44">
        <v>0</v>
      </c>
      <c r="CF44">
        <v>0</v>
      </c>
      <c r="CL44" t="s">
        <v>477</v>
      </c>
      <c r="CM44">
        <v>0</v>
      </c>
      <c r="CN44">
        <v>0</v>
      </c>
      <c r="CQ44" t="s">
        <v>477</v>
      </c>
      <c r="CR44">
        <v>0</v>
      </c>
      <c r="CS44">
        <v>0</v>
      </c>
      <c r="CU44">
        <v>0</v>
      </c>
      <c r="CV44">
        <v>0</v>
      </c>
      <c r="CW44" t="s">
        <v>477</v>
      </c>
      <c r="CX44">
        <v>0</v>
      </c>
      <c r="CY44">
        <v>0</v>
      </c>
      <c r="CZ44">
        <v>0</v>
      </c>
      <c r="DA44" t="s">
        <v>477</v>
      </c>
      <c r="DB44">
        <v>0</v>
      </c>
      <c r="DC44">
        <v>0</v>
      </c>
      <c r="DN44">
        <v>0</v>
      </c>
      <c r="DO44">
        <v>0</v>
      </c>
    </row>
    <row r="45" spans="2:119">
      <c r="B45" t="s">
        <v>474</v>
      </c>
      <c r="C45">
        <v>3</v>
      </c>
      <c r="D45" t="s">
        <v>472</v>
      </c>
      <c r="E45">
        <v>2</v>
      </c>
      <c r="F45" t="s">
        <v>481</v>
      </c>
      <c r="G45">
        <v>34</v>
      </c>
      <c r="H45" t="s">
        <v>536</v>
      </c>
      <c r="I45">
        <v>0</v>
      </c>
      <c r="J45">
        <v>1</v>
      </c>
      <c r="K45" t="s">
        <v>478</v>
      </c>
      <c r="L45" t="s">
        <v>482</v>
      </c>
      <c r="Y45">
        <v>96</v>
      </c>
      <c r="Z45">
        <v>75</v>
      </c>
      <c r="AA45">
        <v>95.358000000000004</v>
      </c>
      <c r="AB45">
        <v>75</v>
      </c>
      <c r="AC45">
        <v>29</v>
      </c>
      <c r="AF45">
        <v>75</v>
      </c>
      <c r="AG45">
        <v>52</v>
      </c>
      <c r="AH45">
        <v>63.062869999999997</v>
      </c>
      <c r="AI45">
        <v>75</v>
      </c>
      <c r="AJ45">
        <v>780</v>
      </c>
      <c r="AK45">
        <v>13260</v>
      </c>
      <c r="AL45">
        <v>18963.82</v>
      </c>
      <c r="AM45">
        <v>5460</v>
      </c>
      <c r="AN45">
        <v>24423.82</v>
      </c>
      <c r="AR45">
        <v>5580.5770000000002</v>
      </c>
      <c r="AS45">
        <v>849.63779999999997</v>
      </c>
      <c r="AT45">
        <v>348.51589999999999</v>
      </c>
      <c r="AU45" t="s">
        <v>476</v>
      </c>
      <c r="AV45">
        <v>0</v>
      </c>
      <c r="AW45">
        <v>0</v>
      </c>
      <c r="AX45">
        <v>0</v>
      </c>
      <c r="AY45">
        <v>1</v>
      </c>
      <c r="AZ45">
        <v>849.63779999999997</v>
      </c>
      <c r="BA45">
        <v>0</v>
      </c>
      <c r="BB45">
        <v>0</v>
      </c>
      <c r="BE45">
        <v>780</v>
      </c>
      <c r="BF45">
        <v>1547.4179999999999</v>
      </c>
      <c r="BG45">
        <v>1894.4639999999999</v>
      </c>
      <c r="BH45">
        <v>383.1</v>
      </c>
      <c r="BI45">
        <v>1589.8820000000001</v>
      </c>
      <c r="BJ45">
        <v>2927.114</v>
      </c>
      <c r="BK45">
        <v>30</v>
      </c>
      <c r="BL45">
        <v>789.86249999999995</v>
      </c>
      <c r="BM45">
        <v>759</v>
      </c>
      <c r="BN45">
        <v>0</v>
      </c>
      <c r="BO45">
        <v>0</v>
      </c>
      <c r="BP45">
        <v>0</v>
      </c>
      <c r="BQ45">
        <v>0</v>
      </c>
      <c r="BR45">
        <v>0</v>
      </c>
      <c r="BS45">
        <v>1092</v>
      </c>
      <c r="BT45">
        <v>3912.3609999999999</v>
      </c>
      <c r="BU45">
        <v>1200</v>
      </c>
      <c r="BV45">
        <v>4299.2979999999998</v>
      </c>
      <c r="BW45">
        <v>0</v>
      </c>
      <c r="BX45">
        <v>0</v>
      </c>
      <c r="BY45">
        <v>26</v>
      </c>
      <c r="BZ45">
        <v>6825</v>
      </c>
      <c r="CA45">
        <v>5460</v>
      </c>
      <c r="CB45">
        <v>15036.66</v>
      </c>
      <c r="CC45">
        <v>5460</v>
      </c>
      <c r="CD45">
        <v>0</v>
      </c>
      <c r="CE45">
        <v>0</v>
      </c>
      <c r="CF45">
        <v>0</v>
      </c>
      <c r="CL45" t="s">
        <v>477</v>
      </c>
      <c r="CM45">
        <v>0</v>
      </c>
      <c r="CN45">
        <v>0</v>
      </c>
      <c r="CQ45" t="s">
        <v>477</v>
      </c>
      <c r="CR45">
        <v>0</v>
      </c>
      <c r="CS45">
        <v>0</v>
      </c>
      <c r="CU45">
        <v>0</v>
      </c>
      <c r="CV45">
        <v>0</v>
      </c>
      <c r="CW45" t="s">
        <v>477</v>
      </c>
      <c r="CX45">
        <v>0</v>
      </c>
      <c r="CY45">
        <v>0</v>
      </c>
      <c r="CZ45">
        <v>0</v>
      </c>
      <c r="DA45" t="s">
        <v>477</v>
      </c>
      <c r="DB45">
        <v>0</v>
      </c>
      <c r="DC45">
        <v>0</v>
      </c>
      <c r="DN45">
        <v>0</v>
      </c>
      <c r="DO45">
        <v>0</v>
      </c>
    </row>
    <row r="46" spans="2:119">
      <c r="B46" t="s">
        <v>474</v>
      </c>
      <c r="C46">
        <v>3</v>
      </c>
      <c r="D46" t="s">
        <v>472</v>
      </c>
      <c r="E46">
        <v>2</v>
      </c>
      <c r="F46" t="s">
        <v>481</v>
      </c>
      <c r="G46">
        <v>35</v>
      </c>
      <c r="H46" t="s">
        <v>537</v>
      </c>
      <c r="I46">
        <v>0</v>
      </c>
      <c r="J46">
        <v>1</v>
      </c>
      <c r="K46" t="s">
        <v>478</v>
      </c>
      <c r="L46" t="s">
        <v>542</v>
      </c>
      <c r="Y46">
        <v>96</v>
      </c>
      <c r="Z46">
        <v>75</v>
      </c>
      <c r="AA46">
        <v>84.016000000000005</v>
      </c>
      <c r="AB46">
        <v>72.218000000000004</v>
      </c>
      <c r="AC46">
        <v>29</v>
      </c>
      <c r="AF46">
        <v>75</v>
      </c>
      <c r="AG46">
        <v>52</v>
      </c>
      <c r="AH46">
        <v>63.062869999999997</v>
      </c>
      <c r="AI46">
        <v>75</v>
      </c>
      <c r="AJ46">
        <v>500</v>
      </c>
      <c r="AK46">
        <v>8500</v>
      </c>
      <c r="AL46">
        <v>19524.39</v>
      </c>
      <c r="AM46">
        <v>5460</v>
      </c>
      <c r="AN46">
        <v>24984.39</v>
      </c>
      <c r="AR46">
        <v>5253.6260000000002</v>
      </c>
      <c r="AS46">
        <v>874.75289999999995</v>
      </c>
      <c r="AT46">
        <v>328.09730000000002</v>
      </c>
      <c r="AU46" t="s">
        <v>476</v>
      </c>
      <c r="AV46">
        <v>0</v>
      </c>
      <c r="AW46">
        <v>0</v>
      </c>
      <c r="AX46">
        <v>0</v>
      </c>
      <c r="AY46">
        <v>1</v>
      </c>
      <c r="AZ46">
        <v>874.75289999999995</v>
      </c>
      <c r="BA46">
        <v>0</v>
      </c>
      <c r="BB46">
        <v>0</v>
      </c>
      <c r="BE46">
        <v>500</v>
      </c>
      <c r="BF46">
        <v>324.13499999999999</v>
      </c>
      <c r="BG46">
        <v>1214.4000000000001</v>
      </c>
      <c r="BH46">
        <v>136.6</v>
      </c>
      <c r="BI46">
        <v>458.60660000000001</v>
      </c>
      <c r="BJ46">
        <v>1043.7059999999999</v>
      </c>
      <c r="BK46">
        <v>118.4</v>
      </c>
      <c r="BL46">
        <v>5109.4279999999999</v>
      </c>
      <c r="BM46">
        <v>2995.52</v>
      </c>
      <c r="BN46">
        <v>0</v>
      </c>
      <c r="BO46">
        <v>0</v>
      </c>
      <c r="BP46">
        <v>0</v>
      </c>
      <c r="BQ46">
        <v>0</v>
      </c>
      <c r="BR46">
        <v>0</v>
      </c>
      <c r="BS46">
        <v>700</v>
      </c>
      <c r="BT46">
        <v>2507.924</v>
      </c>
      <c r="BU46">
        <v>1200</v>
      </c>
      <c r="BV46">
        <v>4299.2979999999998</v>
      </c>
      <c r="BW46">
        <v>0</v>
      </c>
      <c r="BX46">
        <v>0</v>
      </c>
      <c r="BY46">
        <v>26</v>
      </c>
      <c r="BZ46">
        <v>6825</v>
      </c>
      <c r="CA46">
        <v>5460</v>
      </c>
      <c r="CB46">
        <v>13632.22</v>
      </c>
      <c r="CC46">
        <v>5460</v>
      </c>
      <c r="CD46">
        <v>0</v>
      </c>
      <c r="CE46">
        <v>0</v>
      </c>
      <c r="CF46">
        <v>0</v>
      </c>
      <c r="CL46" t="s">
        <v>477</v>
      </c>
      <c r="CM46">
        <v>0</v>
      </c>
      <c r="CN46">
        <v>0</v>
      </c>
      <c r="CQ46" t="s">
        <v>477</v>
      </c>
      <c r="CR46">
        <v>0</v>
      </c>
      <c r="CS46">
        <v>0</v>
      </c>
      <c r="CU46">
        <v>0</v>
      </c>
      <c r="CV46">
        <v>0</v>
      </c>
      <c r="CW46" t="s">
        <v>477</v>
      </c>
      <c r="CX46">
        <v>0</v>
      </c>
      <c r="CY46">
        <v>0</v>
      </c>
      <c r="CZ46">
        <v>0</v>
      </c>
      <c r="DA46" t="s">
        <v>477</v>
      </c>
      <c r="DB46">
        <v>0</v>
      </c>
      <c r="DC46">
        <v>0</v>
      </c>
      <c r="DN46">
        <v>0</v>
      </c>
      <c r="DO46">
        <v>0</v>
      </c>
    </row>
    <row r="47" spans="2:119">
      <c r="B47" t="s">
        <v>474</v>
      </c>
      <c r="C47">
        <v>3</v>
      </c>
      <c r="D47" t="s">
        <v>472</v>
      </c>
      <c r="E47">
        <v>2</v>
      </c>
      <c r="F47" t="s">
        <v>481</v>
      </c>
      <c r="G47">
        <v>36</v>
      </c>
      <c r="H47" t="s">
        <v>538</v>
      </c>
      <c r="I47">
        <v>0</v>
      </c>
      <c r="J47">
        <v>1</v>
      </c>
      <c r="K47" t="s">
        <v>478</v>
      </c>
      <c r="L47" t="s">
        <v>482</v>
      </c>
      <c r="Y47">
        <v>96</v>
      </c>
      <c r="Z47">
        <v>75</v>
      </c>
      <c r="AA47">
        <v>95.358000000000004</v>
      </c>
      <c r="AB47">
        <v>75</v>
      </c>
      <c r="AC47">
        <v>29</v>
      </c>
      <c r="AF47">
        <v>75</v>
      </c>
      <c r="AG47">
        <v>52</v>
      </c>
      <c r="AH47">
        <v>63.062869999999997</v>
      </c>
      <c r="AI47">
        <v>75</v>
      </c>
      <c r="AJ47">
        <v>540</v>
      </c>
      <c r="AK47">
        <v>9180</v>
      </c>
      <c r="AL47">
        <v>5714.5309999999999</v>
      </c>
      <c r="AM47">
        <v>0</v>
      </c>
      <c r="AN47">
        <v>5714.5309999999999</v>
      </c>
      <c r="AR47">
        <v>1311.5519999999999</v>
      </c>
      <c r="AS47">
        <v>324</v>
      </c>
      <c r="AT47">
        <v>81.908519999999996</v>
      </c>
      <c r="AU47" t="s">
        <v>476</v>
      </c>
      <c r="AV47">
        <v>0</v>
      </c>
      <c r="AW47">
        <v>0</v>
      </c>
      <c r="AX47">
        <v>0</v>
      </c>
      <c r="AY47">
        <v>1</v>
      </c>
      <c r="AZ47">
        <v>324</v>
      </c>
      <c r="BA47">
        <v>0</v>
      </c>
      <c r="BB47">
        <v>0</v>
      </c>
      <c r="BE47">
        <v>540</v>
      </c>
      <c r="BF47">
        <v>1071.29</v>
      </c>
      <c r="BG47">
        <v>1311.5519999999999</v>
      </c>
      <c r="BH47">
        <v>0</v>
      </c>
      <c r="BI47">
        <v>0</v>
      </c>
      <c r="BJ47">
        <v>0</v>
      </c>
      <c r="BK47">
        <v>0</v>
      </c>
      <c r="BL47">
        <v>0</v>
      </c>
      <c r="BM47">
        <v>0</v>
      </c>
      <c r="BN47">
        <v>0</v>
      </c>
      <c r="BO47">
        <v>0</v>
      </c>
      <c r="BP47">
        <v>0</v>
      </c>
      <c r="BQ47">
        <v>0</v>
      </c>
      <c r="BR47">
        <v>0</v>
      </c>
      <c r="BS47">
        <v>756</v>
      </c>
      <c r="BT47">
        <v>2708.5569999999998</v>
      </c>
      <c r="BU47">
        <v>540</v>
      </c>
      <c r="BV47">
        <v>1934.684</v>
      </c>
      <c r="BW47">
        <v>0</v>
      </c>
      <c r="BX47">
        <v>0</v>
      </c>
      <c r="BY47">
        <v>0</v>
      </c>
      <c r="BZ47">
        <v>0</v>
      </c>
      <c r="CA47">
        <v>0</v>
      </c>
      <c r="CB47">
        <v>4643.241</v>
      </c>
      <c r="CC47">
        <v>0</v>
      </c>
      <c r="CD47">
        <v>0</v>
      </c>
      <c r="CE47">
        <v>0</v>
      </c>
      <c r="CF47">
        <v>0</v>
      </c>
      <c r="CL47" t="s">
        <v>477</v>
      </c>
      <c r="CM47">
        <v>0</v>
      </c>
      <c r="CN47">
        <v>0</v>
      </c>
      <c r="CQ47" t="s">
        <v>477</v>
      </c>
      <c r="CR47">
        <v>0</v>
      </c>
      <c r="CS47">
        <v>0</v>
      </c>
      <c r="CU47">
        <v>0</v>
      </c>
      <c r="CV47">
        <v>0</v>
      </c>
      <c r="CW47" t="s">
        <v>477</v>
      </c>
      <c r="CX47">
        <v>0</v>
      </c>
      <c r="CY47">
        <v>0</v>
      </c>
      <c r="CZ47">
        <v>0</v>
      </c>
      <c r="DA47" t="s">
        <v>477</v>
      </c>
      <c r="DB47">
        <v>0</v>
      </c>
      <c r="DC47">
        <v>0</v>
      </c>
      <c r="DN47">
        <v>0</v>
      </c>
      <c r="DO47">
        <v>0</v>
      </c>
    </row>
    <row r="48" spans="2:119">
      <c r="B48" t="s">
        <v>474</v>
      </c>
      <c r="C48">
        <v>3</v>
      </c>
      <c r="D48" t="s">
        <v>472</v>
      </c>
      <c r="E48">
        <v>2</v>
      </c>
      <c r="F48" t="s">
        <v>481</v>
      </c>
      <c r="G48">
        <v>37</v>
      </c>
      <c r="H48" t="s">
        <v>539</v>
      </c>
      <c r="I48">
        <v>0</v>
      </c>
      <c r="J48">
        <v>1</v>
      </c>
      <c r="K48" t="s">
        <v>478</v>
      </c>
      <c r="L48" t="s">
        <v>479</v>
      </c>
      <c r="Y48">
        <v>96</v>
      </c>
      <c r="Z48">
        <v>75</v>
      </c>
      <c r="AA48">
        <v>93.86</v>
      </c>
      <c r="AB48">
        <v>75</v>
      </c>
      <c r="AC48">
        <v>29</v>
      </c>
      <c r="AF48">
        <v>75</v>
      </c>
      <c r="AG48">
        <v>52</v>
      </c>
      <c r="AH48">
        <v>63.062869999999997</v>
      </c>
      <c r="AI48">
        <v>75</v>
      </c>
      <c r="AJ48">
        <v>780</v>
      </c>
      <c r="AK48">
        <v>13260</v>
      </c>
      <c r="AL48">
        <v>19440.72</v>
      </c>
      <c r="AM48">
        <v>5460</v>
      </c>
      <c r="AN48">
        <v>24900.720000000001</v>
      </c>
      <c r="AR48">
        <v>5645.5219999999999</v>
      </c>
      <c r="AS48">
        <v>871.00419999999997</v>
      </c>
      <c r="AT48">
        <v>352.57190000000003</v>
      </c>
      <c r="AU48" t="s">
        <v>476</v>
      </c>
      <c r="AV48">
        <v>0</v>
      </c>
      <c r="AW48">
        <v>0</v>
      </c>
      <c r="AX48">
        <v>0</v>
      </c>
      <c r="AY48">
        <v>1</v>
      </c>
      <c r="AZ48">
        <v>871.00419999999997</v>
      </c>
      <c r="BA48">
        <v>0</v>
      </c>
      <c r="BB48">
        <v>0</v>
      </c>
      <c r="BE48">
        <v>780</v>
      </c>
      <c r="BF48">
        <v>1508.107</v>
      </c>
      <c r="BG48">
        <v>1894.4639999999999</v>
      </c>
      <c r="BH48">
        <v>391.6</v>
      </c>
      <c r="BI48">
        <v>1314.7170000000001</v>
      </c>
      <c r="BJ48">
        <v>2992.0590000000002</v>
      </c>
      <c r="BK48">
        <v>30</v>
      </c>
      <c r="BL48">
        <v>1581.2370000000001</v>
      </c>
      <c r="BM48">
        <v>759</v>
      </c>
      <c r="BN48">
        <v>0</v>
      </c>
      <c r="BO48">
        <v>0</v>
      </c>
      <c r="BP48">
        <v>0</v>
      </c>
      <c r="BQ48">
        <v>0</v>
      </c>
      <c r="BR48">
        <v>0</v>
      </c>
      <c r="BS48">
        <v>1092</v>
      </c>
      <c r="BT48">
        <v>3912.3609999999999</v>
      </c>
      <c r="BU48">
        <v>1200</v>
      </c>
      <c r="BV48">
        <v>4299.2979999999998</v>
      </c>
      <c r="BW48">
        <v>0</v>
      </c>
      <c r="BX48">
        <v>0</v>
      </c>
      <c r="BY48">
        <v>26</v>
      </c>
      <c r="BZ48">
        <v>6825</v>
      </c>
      <c r="CA48">
        <v>5460</v>
      </c>
      <c r="CB48">
        <v>15036.66</v>
      </c>
      <c r="CC48">
        <v>5460</v>
      </c>
      <c r="CD48">
        <v>0</v>
      </c>
      <c r="CE48">
        <v>0</v>
      </c>
      <c r="CF48">
        <v>0</v>
      </c>
      <c r="CL48" t="s">
        <v>477</v>
      </c>
      <c r="CM48">
        <v>0</v>
      </c>
      <c r="CN48">
        <v>0</v>
      </c>
      <c r="CQ48" t="s">
        <v>477</v>
      </c>
      <c r="CR48">
        <v>0</v>
      </c>
      <c r="CS48">
        <v>0</v>
      </c>
      <c r="CU48">
        <v>0</v>
      </c>
      <c r="CV48">
        <v>0</v>
      </c>
      <c r="CW48" t="s">
        <v>477</v>
      </c>
      <c r="CX48">
        <v>0</v>
      </c>
      <c r="CY48">
        <v>0</v>
      </c>
      <c r="CZ48">
        <v>0</v>
      </c>
      <c r="DA48" t="s">
        <v>477</v>
      </c>
      <c r="DB48">
        <v>0</v>
      </c>
      <c r="DC48">
        <v>0</v>
      </c>
      <c r="DN48">
        <v>0</v>
      </c>
      <c r="DO48">
        <v>0</v>
      </c>
    </row>
    <row r="49" spans="2:133">
      <c r="B49" t="s">
        <v>474</v>
      </c>
      <c r="C49">
        <v>3</v>
      </c>
      <c r="D49" t="s">
        <v>472</v>
      </c>
      <c r="E49">
        <v>2</v>
      </c>
      <c r="F49" t="s">
        <v>481</v>
      </c>
      <c r="G49">
        <v>38</v>
      </c>
      <c r="H49" t="s">
        <v>540</v>
      </c>
      <c r="I49">
        <v>0</v>
      </c>
      <c r="J49">
        <v>1</v>
      </c>
      <c r="K49" t="s">
        <v>478</v>
      </c>
      <c r="L49" t="s">
        <v>479</v>
      </c>
      <c r="Y49">
        <v>96</v>
      </c>
      <c r="Z49">
        <v>75</v>
      </c>
      <c r="AA49">
        <v>93.86</v>
      </c>
      <c r="AB49">
        <v>75</v>
      </c>
      <c r="AC49">
        <v>29</v>
      </c>
      <c r="AF49">
        <v>75</v>
      </c>
      <c r="AG49">
        <v>52</v>
      </c>
      <c r="AH49">
        <v>63.062869999999997</v>
      </c>
      <c r="AI49">
        <v>75</v>
      </c>
      <c r="AJ49">
        <v>780</v>
      </c>
      <c r="AK49">
        <v>13260</v>
      </c>
      <c r="AL49">
        <v>21412.94</v>
      </c>
      <c r="AM49">
        <v>5460</v>
      </c>
      <c r="AN49">
        <v>26872.94</v>
      </c>
      <c r="AR49">
        <v>10256.629999999999</v>
      </c>
      <c r="AS49">
        <v>959.36569999999995</v>
      </c>
      <c r="AT49">
        <v>640.54259999999999</v>
      </c>
      <c r="AU49" t="s">
        <v>476</v>
      </c>
      <c r="AV49">
        <v>0</v>
      </c>
      <c r="AW49">
        <v>0</v>
      </c>
      <c r="AX49">
        <v>0</v>
      </c>
      <c r="AY49">
        <v>1</v>
      </c>
      <c r="AZ49">
        <v>959.36569999999995</v>
      </c>
      <c r="BA49">
        <v>0</v>
      </c>
      <c r="BB49">
        <v>0</v>
      </c>
      <c r="BE49">
        <v>780</v>
      </c>
      <c r="BF49">
        <v>1508.107</v>
      </c>
      <c r="BG49">
        <v>1894.4639999999999</v>
      </c>
      <c r="BH49">
        <v>995.1</v>
      </c>
      <c r="BI49">
        <v>3286.9380000000001</v>
      </c>
      <c r="BJ49">
        <v>7603.1610000000001</v>
      </c>
      <c r="BK49">
        <v>30</v>
      </c>
      <c r="BL49">
        <v>1581.2370000000001</v>
      </c>
      <c r="BM49">
        <v>759</v>
      </c>
      <c r="BN49">
        <v>0</v>
      </c>
      <c r="BO49">
        <v>0</v>
      </c>
      <c r="BP49">
        <v>0</v>
      </c>
      <c r="BQ49">
        <v>0</v>
      </c>
      <c r="BR49">
        <v>0</v>
      </c>
      <c r="BS49">
        <v>1092</v>
      </c>
      <c r="BT49">
        <v>3912.3609999999999</v>
      </c>
      <c r="BU49">
        <v>1200</v>
      </c>
      <c r="BV49">
        <v>4299.2979999999998</v>
      </c>
      <c r="BW49">
        <v>0</v>
      </c>
      <c r="BX49">
        <v>0</v>
      </c>
      <c r="BY49">
        <v>26</v>
      </c>
      <c r="BZ49">
        <v>6825</v>
      </c>
      <c r="CA49">
        <v>5460</v>
      </c>
      <c r="CB49">
        <v>15036.66</v>
      </c>
      <c r="CC49">
        <v>5460</v>
      </c>
      <c r="CD49">
        <v>0</v>
      </c>
      <c r="CE49">
        <v>0</v>
      </c>
      <c r="CF49">
        <v>0</v>
      </c>
      <c r="CL49" t="s">
        <v>477</v>
      </c>
      <c r="CM49">
        <v>0</v>
      </c>
      <c r="CN49">
        <v>0</v>
      </c>
      <c r="CQ49" t="s">
        <v>477</v>
      </c>
      <c r="CR49">
        <v>0</v>
      </c>
      <c r="CS49">
        <v>0</v>
      </c>
      <c r="CU49">
        <v>0</v>
      </c>
      <c r="CV49">
        <v>0</v>
      </c>
      <c r="CW49" t="s">
        <v>477</v>
      </c>
      <c r="CX49">
        <v>0</v>
      </c>
      <c r="CY49">
        <v>0</v>
      </c>
      <c r="CZ49">
        <v>0</v>
      </c>
      <c r="DA49" t="s">
        <v>477</v>
      </c>
      <c r="DB49">
        <v>0</v>
      </c>
      <c r="DC49">
        <v>0</v>
      </c>
      <c r="DN49">
        <v>0</v>
      </c>
      <c r="DO49">
        <v>0</v>
      </c>
    </row>
    <row r="50" spans="2:133">
      <c r="B50" t="s">
        <v>474</v>
      </c>
      <c r="C50">
        <v>3</v>
      </c>
      <c r="D50" t="s">
        <v>472</v>
      </c>
      <c r="E50">
        <v>2</v>
      </c>
      <c r="F50" t="s">
        <v>481</v>
      </c>
      <c r="G50">
        <v>39</v>
      </c>
      <c r="H50" t="s">
        <v>541</v>
      </c>
      <c r="I50">
        <v>0</v>
      </c>
      <c r="J50">
        <v>1</v>
      </c>
      <c r="K50" t="s">
        <v>478</v>
      </c>
      <c r="L50" t="s">
        <v>522</v>
      </c>
      <c r="Y50">
        <v>96</v>
      </c>
      <c r="Z50">
        <v>75</v>
      </c>
      <c r="AA50">
        <v>95.358000000000004</v>
      </c>
      <c r="AB50">
        <v>75</v>
      </c>
      <c r="AC50">
        <v>29</v>
      </c>
      <c r="AF50">
        <v>75</v>
      </c>
      <c r="AG50">
        <v>52</v>
      </c>
      <c r="AH50">
        <v>63.062869999999997</v>
      </c>
      <c r="AI50">
        <v>75</v>
      </c>
      <c r="AJ50">
        <v>370</v>
      </c>
      <c r="AK50">
        <v>6290</v>
      </c>
      <c r="AL50">
        <v>6191.0079999999998</v>
      </c>
      <c r="AM50">
        <v>0</v>
      </c>
      <c r="AN50">
        <v>6191.0079999999998</v>
      </c>
      <c r="AR50">
        <v>3209.2539999999999</v>
      </c>
      <c r="AS50">
        <v>277.37630000000001</v>
      </c>
      <c r="AT50">
        <v>200.423</v>
      </c>
      <c r="AU50" t="s">
        <v>476</v>
      </c>
      <c r="AV50">
        <v>0</v>
      </c>
      <c r="AW50">
        <v>0</v>
      </c>
      <c r="AX50">
        <v>0</v>
      </c>
      <c r="AY50">
        <v>1</v>
      </c>
      <c r="AZ50">
        <v>277.37630000000001</v>
      </c>
      <c r="BA50">
        <v>0</v>
      </c>
      <c r="BB50">
        <v>0</v>
      </c>
      <c r="BE50">
        <v>370</v>
      </c>
      <c r="BF50">
        <v>650.11590000000001</v>
      </c>
      <c r="BG50">
        <v>898.65610000000004</v>
      </c>
      <c r="BH50">
        <v>64</v>
      </c>
      <c r="BI50">
        <v>180.62010000000001</v>
      </c>
      <c r="BJ50">
        <v>488.9984</v>
      </c>
      <c r="BK50">
        <v>72</v>
      </c>
      <c r="BL50">
        <v>2178.7919999999999</v>
      </c>
      <c r="BM50">
        <v>1821.6</v>
      </c>
      <c r="BN50">
        <v>0</v>
      </c>
      <c r="BO50">
        <v>0</v>
      </c>
      <c r="BP50">
        <v>0</v>
      </c>
      <c r="BQ50">
        <v>0</v>
      </c>
      <c r="BR50">
        <v>0</v>
      </c>
      <c r="BS50">
        <v>518</v>
      </c>
      <c r="BT50">
        <v>1855.864</v>
      </c>
      <c r="BU50">
        <v>370</v>
      </c>
      <c r="BV50">
        <v>1325.617</v>
      </c>
      <c r="BW50">
        <v>0</v>
      </c>
      <c r="BX50">
        <v>0</v>
      </c>
      <c r="BY50">
        <v>0</v>
      </c>
      <c r="BZ50">
        <v>0</v>
      </c>
      <c r="CA50">
        <v>0</v>
      </c>
      <c r="CB50">
        <v>3181.48</v>
      </c>
      <c r="CC50">
        <v>0</v>
      </c>
      <c r="CD50">
        <v>0</v>
      </c>
      <c r="CE50">
        <v>0</v>
      </c>
      <c r="CF50">
        <v>0</v>
      </c>
      <c r="CL50" t="s">
        <v>477</v>
      </c>
      <c r="CM50">
        <v>0</v>
      </c>
      <c r="CN50">
        <v>0</v>
      </c>
      <c r="CQ50" t="s">
        <v>477</v>
      </c>
      <c r="CR50">
        <v>0</v>
      </c>
      <c r="CS50">
        <v>0</v>
      </c>
      <c r="CU50">
        <v>0</v>
      </c>
      <c r="CV50">
        <v>0</v>
      </c>
      <c r="CW50" t="s">
        <v>477</v>
      </c>
      <c r="CX50">
        <v>0</v>
      </c>
      <c r="CY50">
        <v>0</v>
      </c>
      <c r="CZ50">
        <v>0</v>
      </c>
      <c r="DA50" t="s">
        <v>477</v>
      </c>
      <c r="DB50">
        <v>0</v>
      </c>
      <c r="DC50">
        <v>0</v>
      </c>
      <c r="DN50">
        <v>0</v>
      </c>
      <c r="DO50">
        <v>0</v>
      </c>
    </row>
    <row r="51" spans="2:133">
      <c r="B51" t="s">
        <v>474</v>
      </c>
      <c r="C51">
        <v>3</v>
      </c>
      <c r="D51" t="s">
        <v>472</v>
      </c>
      <c r="E51">
        <v>2</v>
      </c>
      <c r="F51" t="s">
        <v>481</v>
      </c>
      <c r="G51">
        <v>40</v>
      </c>
      <c r="H51" t="s">
        <v>543</v>
      </c>
      <c r="I51">
        <v>0</v>
      </c>
      <c r="J51">
        <v>1</v>
      </c>
      <c r="K51" t="s">
        <v>478</v>
      </c>
      <c r="L51" t="s">
        <v>479</v>
      </c>
      <c r="Y51">
        <v>96</v>
      </c>
      <c r="Z51">
        <v>75</v>
      </c>
      <c r="AA51">
        <v>93.86</v>
      </c>
      <c r="AB51">
        <v>75</v>
      </c>
      <c r="AC51">
        <v>29</v>
      </c>
      <c r="AF51">
        <v>75</v>
      </c>
      <c r="AG51">
        <v>52</v>
      </c>
      <c r="AH51">
        <v>63.062869999999997</v>
      </c>
      <c r="AI51">
        <v>75</v>
      </c>
      <c r="AJ51">
        <v>780</v>
      </c>
      <c r="AK51">
        <v>13260</v>
      </c>
      <c r="AL51">
        <v>21413.48</v>
      </c>
      <c r="AM51">
        <v>5460</v>
      </c>
      <c r="AN51">
        <v>26873.48</v>
      </c>
      <c r="AR51">
        <v>11555.53</v>
      </c>
      <c r="AS51">
        <v>959.39</v>
      </c>
      <c r="AT51">
        <v>721.66110000000003</v>
      </c>
      <c r="AU51" t="s">
        <v>476</v>
      </c>
      <c r="AV51">
        <v>0</v>
      </c>
      <c r="AW51">
        <v>0</v>
      </c>
      <c r="AX51">
        <v>0</v>
      </c>
      <c r="AY51">
        <v>1</v>
      </c>
      <c r="AZ51">
        <v>959.39</v>
      </c>
      <c r="BA51">
        <v>0</v>
      </c>
      <c r="BB51">
        <v>0</v>
      </c>
      <c r="BE51">
        <v>780</v>
      </c>
      <c r="BF51">
        <v>1508.107</v>
      </c>
      <c r="BG51">
        <v>1894.4639999999999</v>
      </c>
      <c r="BH51">
        <v>1165.0999999999999</v>
      </c>
      <c r="BI51">
        <v>4156.6909999999998</v>
      </c>
      <c r="BJ51">
        <v>8902.0630000000001</v>
      </c>
      <c r="BK51">
        <v>30</v>
      </c>
      <c r="BL51">
        <v>712.02589999999998</v>
      </c>
      <c r="BM51">
        <v>759</v>
      </c>
      <c r="BN51">
        <v>0</v>
      </c>
      <c r="BO51">
        <v>0</v>
      </c>
      <c r="BP51">
        <v>0</v>
      </c>
      <c r="BQ51">
        <v>0</v>
      </c>
      <c r="BR51">
        <v>0</v>
      </c>
      <c r="BS51">
        <v>1092</v>
      </c>
      <c r="BT51">
        <v>3912.3609999999999</v>
      </c>
      <c r="BU51">
        <v>1200</v>
      </c>
      <c r="BV51">
        <v>4299.2979999999998</v>
      </c>
      <c r="BW51">
        <v>0</v>
      </c>
      <c r="BX51">
        <v>0</v>
      </c>
      <c r="BY51">
        <v>26</v>
      </c>
      <c r="BZ51">
        <v>6825</v>
      </c>
      <c r="CA51">
        <v>5460</v>
      </c>
      <c r="CB51">
        <v>15036.66</v>
      </c>
      <c r="CC51">
        <v>5460</v>
      </c>
      <c r="CD51">
        <v>0</v>
      </c>
      <c r="CE51">
        <v>0</v>
      </c>
      <c r="CF51">
        <v>0</v>
      </c>
      <c r="CL51" t="s">
        <v>477</v>
      </c>
      <c r="CM51">
        <v>0</v>
      </c>
      <c r="CN51">
        <v>0</v>
      </c>
      <c r="CQ51" t="s">
        <v>477</v>
      </c>
      <c r="CR51">
        <v>0</v>
      </c>
      <c r="CS51">
        <v>0</v>
      </c>
      <c r="CU51">
        <v>0</v>
      </c>
      <c r="CV51">
        <v>0</v>
      </c>
      <c r="CW51" t="s">
        <v>477</v>
      </c>
      <c r="CX51">
        <v>0</v>
      </c>
      <c r="CY51">
        <v>0</v>
      </c>
      <c r="CZ51">
        <v>0</v>
      </c>
      <c r="DA51" t="s">
        <v>477</v>
      </c>
      <c r="DB51">
        <v>0</v>
      </c>
      <c r="DC51">
        <v>0</v>
      </c>
      <c r="DN51">
        <v>0</v>
      </c>
      <c r="DO51">
        <v>0</v>
      </c>
    </row>
    <row r="52" spans="2:133">
      <c r="B52" t="s">
        <v>474</v>
      </c>
      <c r="C52">
        <v>3</v>
      </c>
      <c r="D52" t="s">
        <v>472</v>
      </c>
      <c r="E52">
        <v>2</v>
      </c>
      <c r="F52" t="s">
        <v>481</v>
      </c>
      <c r="G52">
        <v>41</v>
      </c>
      <c r="H52" t="s">
        <v>544</v>
      </c>
      <c r="I52">
        <v>0</v>
      </c>
      <c r="J52">
        <v>1</v>
      </c>
      <c r="K52" t="s">
        <v>478</v>
      </c>
      <c r="L52" t="s">
        <v>479</v>
      </c>
      <c r="Y52">
        <v>96</v>
      </c>
      <c r="Z52">
        <v>75</v>
      </c>
      <c r="AA52">
        <v>93.86</v>
      </c>
      <c r="AB52">
        <v>75</v>
      </c>
      <c r="AC52">
        <v>29</v>
      </c>
      <c r="AF52">
        <v>75</v>
      </c>
      <c r="AG52">
        <v>52</v>
      </c>
      <c r="AH52">
        <v>63.062869999999997</v>
      </c>
      <c r="AI52">
        <v>75</v>
      </c>
      <c r="AJ52">
        <v>780</v>
      </c>
      <c r="AK52">
        <v>13260</v>
      </c>
      <c r="AL52">
        <v>21412.94</v>
      </c>
      <c r="AM52">
        <v>5460</v>
      </c>
      <c r="AN52">
        <v>26872.94</v>
      </c>
      <c r="AR52">
        <v>10256.629999999999</v>
      </c>
      <c r="AS52">
        <v>959.36569999999995</v>
      </c>
      <c r="AT52">
        <v>640.54259999999999</v>
      </c>
      <c r="AU52" t="s">
        <v>476</v>
      </c>
      <c r="AV52">
        <v>0</v>
      </c>
      <c r="AW52">
        <v>0</v>
      </c>
      <c r="AX52">
        <v>0</v>
      </c>
      <c r="AY52">
        <v>1</v>
      </c>
      <c r="AZ52">
        <v>959.36569999999995</v>
      </c>
      <c r="BA52">
        <v>0</v>
      </c>
      <c r="BB52">
        <v>0</v>
      </c>
      <c r="BE52">
        <v>780</v>
      </c>
      <c r="BF52">
        <v>1508.107</v>
      </c>
      <c r="BG52">
        <v>1894.4639999999999</v>
      </c>
      <c r="BH52">
        <v>995.1</v>
      </c>
      <c r="BI52">
        <v>3286.9380000000001</v>
      </c>
      <c r="BJ52">
        <v>7603.1610000000001</v>
      </c>
      <c r="BK52">
        <v>30</v>
      </c>
      <c r="BL52">
        <v>1581.2370000000001</v>
      </c>
      <c r="BM52">
        <v>759</v>
      </c>
      <c r="BN52">
        <v>0</v>
      </c>
      <c r="BO52">
        <v>0</v>
      </c>
      <c r="BP52">
        <v>0</v>
      </c>
      <c r="BQ52">
        <v>0</v>
      </c>
      <c r="BR52">
        <v>0</v>
      </c>
      <c r="BS52">
        <v>1092</v>
      </c>
      <c r="BT52">
        <v>3912.3609999999999</v>
      </c>
      <c r="BU52">
        <v>1200</v>
      </c>
      <c r="BV52">
        <v>4299.2979999999998</v>
      </c>
      <c r="BW52">
        <v>0</v>
      </c>
      <c r="BX52">
        <v>0</v>
      </c>
      <c r="BY52">
        <v>26</v>
      </c>
      <c r="BZ52">
        <v>6825</v>
      </c>
      <c r="CA52">
        <v>5460</v>
      </c>
      <c r="CB52">
        <v>15036.66</v>
      </c>
      <c r="CC52">
        <v>5460</v>
      </c>
      <c r="CD52">
        <v>0</v>
      </c>
      <c r="CE52">
        <v>0</v>
      </c>
      <c r="CF52">
        <v>0</v>
      </c>
      <c r="CL52" t="s">
        <v>477</v>
      </c>
      <c r="CM52">
        <v>0</v>
      </c>
      <c r="CN52">
        <v>0</v>
      </c>
      <c r="CQ52" t="s">
        <v>477</v>
      </c>
      <c r="CR52">
        <v>0</v>
      </c>
      <c r="CS52">
        <v>0</v>
      </c>
      <c r="CU52">
        <v>0</v>
      </c>
      <c r="CV52">
        <v>0</v>
      </c>
      <c r="CW52" t="s">
        <v>477</v>
      </c>
      <c r="CX52">
        <v>0</v>
      </c>
      <c r="CY52">
        <v>0</v>
      </c>
      <c r="CZ52">
        <v>0</v>
      </c>
      <c r="DA52" t="s">
        <v>477</v>
      </c>
      <c r="DB52">
        <v>0</v>
      </c>
      <c r="DC52">
        <v>0</v>
      </c>
      <c r="DN52">
        <v>0</v>
      </c>
      <c r="DO52">
        <v>0</v>
      </c>
    </row>
    <row r="53" spans="2:133">
      <c r="B53" t="s">
        <v>474</v>
      </c>
      <c r="C53">
        <v>3</v>
      </c>
      <c r="D53" t="s">
        <v>472</v>
      </c>
      <c r="E53">
        <v>2</v>
      </c>
      <c r="F53" t="s">
        <v>481</v>
      </c>
      <c r="G53">
        <v>42</v>
      </c>
      <c r="H53" t="s">
        <v>545</v>
      </c>
      <c r="I53">
        <v>0</v>
      </c>
      <c r="J53">
        <v>1</v>
      </c>
      <c r="K53" t="s">
        <v>478</v>
      </c>
      <c r="L53" t="s">
        <v>479</v>
      </c>
      <c r="Y53">
        <v>96</v>
      </c>
      <c r="Z53">
        <v>75</v>
      </c>
      <c r="AA53">
        <v>93.86</v>
      </c>
      <c r="AB53">
        <v>75</v>
      </c>
      <c r="AC53">
        <v>29</v>
      </c>
      <c r="AF53">
        <v>75</v>
      </c>
      <c r="AG53">
        <v>52</v>
      </c>
      <c r="AH53">
        <v>63.062869999999997</v>
      </c>
      <c r="AI53">
        <v>75</v>
      </c>
      <c r="AJ53">
        <v>780</v>
      </c>
      <c r="AK53">
        <v>13260</v>
      </c>
      <c r="AL53">
        <v>21413.48</v>
      </c>
      <c r="AM53">
        <v>5460</v>
      </c>
      <c r="AN53">
        <v>26873.48</v>
      </c>
      <c r="AR53">
        <v>11555.53</v>
      </c>
      <c r="AS53">
        <v>959.39</v>
      </c>
      <c r="AT53">
        <v>721.66110000000003</v>
      </c>
      <c r="AU53" t="s">
        <v>476</v>
      </c>
      <c r="AV53">
        <v>0</v>
      </c>
      <c r="AW53">
        <v>0</v>
      </c>
      <c r="AX53">
        <v>0</v>
      </c>
      <c r="AY53">
        <v>1</v>
      </c>
      <c r="AZ53">
        <v>959.39</v>
      </c>
      <c r="BA53">
        <v>0</v>
      </c>
      <c r="BB53">
        <v>0</v>
      </c>
      <c r="BE53">
        <v>780</v>
      </c>
      <c r="BF53">
        <v>1508.107</v>
      </c>
      <c r="BG53">
        <v>1894.4639999999999</v>
      </c>
      <c r="BH53">
        <v>1165.0999999999999</v>
      </c>
      <c r="BI53">
        <v>4156.6909999999998</v>
      </c>
      <c r="BJ53">
        <v>8902.0630000000001</v>
      </c>
      <c r="BK53">
        <v>30</v>
      </c>
      <c r="BL53">
        <v>712.02589999999998</v>
      </c>
      <c r="BM53">
        <v>759</v>
      </c>
      <c r="BN53">
        <v>0</v>
      </c>
      <c r="BO53">
        <v>0</v>
      </c>
      <c r="BP53">
        <v>0</v>
      </c>
      <c r="BQ53">
        <v>0</v>
      </c>
      <c r="BR53">
        <v>0</v>
      </c>
      <c r="BS53">
        <v>1092</v>
      </c>
      <c r="BT53">
        <v>3912.3609999999999</v>
      </c>
      <c r="BU53">
        <v>1200</v>
      </c>
      <c r="BV53">
        <v>4299.2979999999998</v>
      </c>
      <c r="BW53">
        <v>0</v>
      </c>
      <c r="BX53">
        <v>0</v>
      </c>
      <c r="BY53">
        <v>26</v>
      </c>
      <c r="BZ53">
        <v>6825</v>
      </c>
      <c r="CA53">
        <v>5460</v>
      </c>
      <c r="CB53">
        <v>15036.66</v>
      </c>
      <c r="CC53">
        <v>5460</v>
      </c>
      <c r="CD53">
        <v>0</v>
      </c>
      <c r="CE53">
        <v>0</v>
      </c>
      <c r="CF53">
        <v>0</v>
      </c>
      <c r="CL53" t="s">
        <v>477</v>
      </c>
      <c r="CM53">
        <v>0</v>
      </c>
      <c r="CN53">
        <v>0</v>
      </c>
      <c r="CQ53" t="s">
        <v>477</v>
      </c>
      <c r="CR53">
        <v>0</v>
      </c>
      <c r="CS53">
        <v>0</v>
      </c>
      <c r="CU53">
        <v>0</v>
      </c>
      <c r="CV53">
        <v>0</v>
      </c>
      <c r="CW53" t="s">
        <v>477</v>
      </c>
      <c r="CX53">
        <v>0</v>
      </c>
      <c r="CY53">
        <v>0</v>
      </c>
      <c r="CZ53">
        <v>0</v>
      </c>
      <c r="DA53" t="s">
        <v>477</v>
      </c>
      <c r="DB53">
        <v>0</v>
      </c>
      <c r="DC53">
        <v>0</v>
      </c>
      <c r="DN53">
        <v>0</v>
      </c>
      <c r="DO53">
        <v>0</v>
      </c>
    </row>
    <row r="54" spans="2:133">
      <c r="B54" t="s">
        <v>474</v>
      </c>
      <c r="C54">
        <v>3</v>
      </c>
      <c r="D54" t="s">
        <v>472</v>
      </c>
      <c r="E54">
        <v>2</v>
      </c>
      <c r="F54" t="s">
        <v>481</v>
      </c>
      <c r="G54">
        <v>43</v>
      </c>
      <c r="H54" t="s">
        <v>546</v>
      </c>
      <c r="I54">
        <v>0</v>
      </c>
      <c r="J54">
        <v>1</v>
      </c>
      <c r="K54" t="s">
        <v>478</v>
      </c>
      <c r="L54" t="s">
        <v>522</v>
      </c>
      <c r="Y54">
        <v>96</v>
      </c>
      <c r="Z54">
        <v>75</v>
      </c>
      <c r="AA54">
        <v>95.358000000000004</v>
      </c>
      <c r="AB54">
        <v>75</v>
      </c>
      <c r="AC54">
        <v>29</v>
      </c>
      <c r="AF54">
        <v>75</v>
      </c>
      <c r="AG54">
        <v>52</v>
      </c>
      <c r="AH54">
        <v>63.062869999999997</v>
      </c>
      <c r="AI54">
        <v>75</v>
      </c>
      <c r="AJ54">
        <v>260</v>
      </c>
      <c r="AK54">
        <v>4420</v>
      </c>
      <c r="AL54">
        <v>4237.5110000000004</v>
      </c>
      <c r="AM54">
        <v>0</v>
      </c>
      <c r="AN54">
        <v>4237.5110000000004</v>
      </c>
      <c r="AR54">
        <v>3007.0309999999999</v>
      </c>
      <c r="AS54">
        <v>189.8535</v>
      </c>
      <c r="AT54">
        <v>187.79390000000001</v>
      </c>
      <c r="AU54" t="s">
        <v>476</v>
      </c>
      <c r="AV54">
        <v>0</v>
      </c>
      <c r="AW54">
        <v>0</v>
      </c>
      <c r="AX54">
        <v>0</v>
      </c>
      <c r="AY54">
        <v>1</v>
      </c>
      <c r="AZ54">
        <v>189.8535</v>
      </c>
      <c r="BA54">
        <v>0</v>
      </c>
      <c r="BB54">
        <v>0</v>
      </c>
      <c r="BE54">
        <v>260</v>
      </c>
      <c r="BF54">
        <v>456.83819999999997</v>
      </c>
      <c r="BG54">
        <v>631.48800000000006</v>
      </c>
      <c r="BH54">
        <v>72.5</v>
      </c>
      <c r="BI54">
        <v>204.6087</v>
      </c>
      <c r="BJ54">
        <v>553.94349999999997</v>
      </c>
      <c r="BK54">
        <v>72</v>
      </c>
      <c r="BL54">
        <v>2178.7919999999999</v>
      </c>
      <c r="BM54">
        <v>1821.6</v>
      </c>
      <c r="BN54">
        <v>0</v>
      </c>
      <c r="BO54">
        <v>0</v>
      </c>
      <c r="BP54">
        <v>0</v>
      </c>
      <c r="BQ54">
        <v>0</v>
      </c>
      <c r="BR54">
        <v>0</v>
      </c>
      <c r="BS54">
        <v>130</v>
      </c>
      <c r="BT54">
        <v>465.75720000000001</v>
      </c>
      <c r="BU54">
        <v>260</v>
      </c>
      <c r="BV54">
        <v>931.5145</v>
      </c>
      <c r="BW54">
        <v>0</v>
      </c>
      <c r="BX54">
        <v>0</v>
      </c>
      <c r="BY54">
        <v>0</v>
      </c>
      <c r="BZ54">
        <v>0</v>
      </c>
      <c r="CA54">
        <v>0</v>
      </c>
      <c r="CB54">
        <v>1397.2719999999999</v>
      </c>
      <c r="CC54">
        <v>0</v>
      </c>
      <c r="CD54">
        <v>0</v>
      </c>
      <c r="CE54">
        <v>0</v>
      </c>
      <c r="CF54">
        <v>0</v>
      </c>
      <c r="CL54" t="s">
        <v>477</v>
      </c>
      <c r="CM54">
        <v>0</v>
      </c>
      <c r="CN54">
        <v>0</v>
      </c>
      <c r="CQ54" t="s">
        <v>477</v>
      </c>
      <c r="CR54">
        <v>0</v>
      </c>
      <c r="CS54">
        <v>0</v>
      </c>
      <c r="CU54">
        <v>0</v>
      </c>
      <c r="CV54">
        <v>0</v>
      </c>
      <c r="CW54" t="s">
        <v>477</v>
      </c>
      <c r="CX54">
        <v>0</v>
      </c>
      <c r="CY54">
        <v>0</v>
      </c>
      <c r="CZ54">
        <v>0</v>
      </c>
      <c r="DA54" t="s">
        <v>477</v>
      </c>
      <c r="DB54">
        <v>0</v>
      </c>
      <c r="DC54">
        <v>0</v>
      </c>
      <c r="DN54">
        <v>0</v>
      </c>
      <c r="DO54">
        <v>0</v>
      </c>
    </row>
    <row r="55" spans="2:133">
      <c r="B55" t="s">
        <v>480</v>
      </c>
      <c r="C55">
        <v>5</v>
      </c>
      <c r="D55" t="s">
        <v>472</v>
      </c>
      <c r="E55">
        <v>2</v>
      </c>
      <c r="F55" t="s">
        <v>481</v>
      </c>
      <c r="J55">
        <v>2</v>
      </c>
      <c r="AJ55">
        <v>10938</v>
      </c>
      <c r="AK55">
        <v>185946</v>
      </c>
      <c r="AL55">
        <v>246117</v>
      </c>
      <c r="AM55">
        <v>58380</v>
      </c>
      <c r="AN55">
        <v>304496.90000000002</v>
      </c>
      <c r="AR55">
        <v>95128.86</v>
      </c>
      <c r="AS55">
        <v>11363.82</v>
      </c>
      <c r="AT55">
        <v>5940.9489999999996</v>
      </c>
    </row>
    <row r="56" spans="2:133">
      <c r="B56" t="s">
        <v>82</v>
      </c>
      <c r="C56">
        <v>1</v>
      </c>
      <c r="D56" t="s">
        <v>472</v>
      </c>
      <c r="E56">
        <v>2</v>
      </c>
      <c r="F56" t="s">
        <v>481</v>
      </c>
      <c r="J56">
        <v>2</v>
      </c>
      <c r="K56" t="s">
        <v>478</v>
      </c>
      <c r="L56" t="s">
        <v>482</v>
      </c>
      <c r="Y56">
        <v>96</v>
      </c>
      <c r="Z56">
        <v>75</v>
      </c>
      <c r="AA56">
        <v>95.358000000000004</v>
      </c>
      <c r="AB56">
        <v>75</v>
      </c>
      <c r="AC56">
        <v>29</v>
      </c>
      <c r="AD56" t="s">
        <v>637</v>
      </c>
      <c r="AE56">
        <v>2</v>
      </c>
      <c r="AF56">
        <v>75</v>
      </c>
      <c r="AG56">
        <v>52</v>
      </c>
      <c r="AH56">
        <v>63.062869999999997</v>
      </c>
      <c r="AI56">
        <v>75</v>
      </c>
      <c r="AJ56">
        <v>10938</v>
      </c>
      <c r="AK56">
        <v>185946</v>
      </c>
      <c r="AL56">
        <v>252555.7</v>
      </c>
      <c r="AM56">
        <v>58380</v>
      </c>
      <c r="AN56">
        <v>310935.7</v>
      </c>
      <c r="AO56">
        <v>0</v>
      </c>
      <c r="AP56">
        <v>25.911300000000001</v>
      </c>
      <c r="AQ56">
        <v>0</v>
      </c>
      <c r="AR56">
        <v>95128.86</v>
      </c>
      <c r="AS56">
        <v>11244.99</v>
      </c>
      <c r="AT56">
        <v>5940.9489999999996</v>
      </c>
      <c r="AU56" t="s">
        <v>476</v>
      </c>
      <c r="AV56">
        <v>0</v>
      </c>
      <c r="AW56">
        <v>0</v>
      </c>
      <c r="AX56">
        <v>0</v>
      </c>
      <c r="BA56">
        <v>0</v>
      </c>
      <c r="BB56">
        <v>0</v>
      </c>
      <c r="BC56">
        <v>252555.7</v>
      </c>
      <c r="BD56">
        <v>0</v>
      </c>
      <c r="BE56">
        <v>10938</v>
      </c>
      <c r="BF56">
        <v>21699.57</v>
      </c>
      <c r="BG56">
        <v>26566.22</v>
      </c>
      <c r="BH56">
        <v>6872.8</v>
      </c>
      <c r="BI56">
        <v>23381.24</v>
      </c>
      <c r="BJ56">
        <v>52512.32</v>
      </c>
      <c r="BK56">
        <v>634.4</v>
      </c>
      <c r="BL56">
        <v>20828.939999999999</v>
      </c>
      <c r="BM56">
        <v>16050.32</v>
      </c>
      <c r="BN56">
        <v>0</v>
      </c>
      <c r="BO56">
        <v>0</v>
      </c>
      <c r="BP56">
        <v>0</v>
      </c>
      <c r="BQ56">
        <v>0</v>
      </c>
      <c r="BR56">
        <v>0</v>
      </c>
      <c r="BS56">
        <v>13706</v>
      </c>
      <c r="BT56">
        <v>49103.35</v>
      </c>
      <c r="BU56">
        <v>15485</v>
      </c>
      <c r="BV56">
        <v>55478.85</v>
      </c>
      <c r="BW56">
        <v>0</v>
      </c>
      <c r="BX56">
        <v>0</v>
      </c>
      <c r="BY56">
        <v>278</v>
      </c>
      <c r="BZ56">
        <v>72975</v>
      </c>
      <c r="CA56">
        <v>58380</v>
      </c>
      <c r="CB56">
        <v>177557.2</v>
      </c>
      <c r="CC56">
        <v>58380</v>
      </c>
      <c r="CD56">
        <v>0</v>
      </c>
      <c r="CE56">
        <v>0</v>
      </c>
      <c r="CF56">
        <v>0</v>
      </c>
      <c r="CG56">
        <v>0</v>
      </c>
      <c r="CH56">
        <v>0</v>
      </c>
      <c r="CI56">
        <v>0</v>
      </c>
      <c r="CJ56">
        <v>0</v>
      </c>
      <c r="CK56">
        <v>0</v>
      </c>
      <c r="CM56">
        <v>0</v>
      </c>
      <c r="CN56">
        <v>0</v>
      </c>
      <c r="CO56">
        <v>0</v>
      </c>
      <c r="CP56">
        <v>0</v>
      </c>
      <c r="CR56">
        <v>0</v>
      </c>
      <c r="CS56">
        <v>0</v>
      </c>
      <c r="CT56">
        <v>0</v>
      </c>
      <c r="CU56">
        <v>0</v>
      </c>
      <c r="CV56">
        <v>0</v>
      </c>
      <c r="CX56">
        <v>0</v>
      </c>
      <c r="CY56">
        <v>0</v>
      </c>
      <c r="CZ56">
        <v>0</v>
      </c>
      <c r="DB56">
        <v>0</v>
      </c>
      <c r="DC56">
        <v>0</v>
      </c>
      <c r="DD56">
        <v>1566.3979999999999</v>
      </c>
      <c r="DE56">
        <v>0</v>
      </c>
      <c r="DF56">
        <v>7522.3010000000004</v>
      </c>
      <c r="DG56">
        <v>0</v>
      </c>
      <c r="DH56">
        <v>0</v>
      </c>
      <c r="DI56">
        <v>0</v>
      </c>
      <c r="DJ56">
        <v>0</v>
      </c>
      <c r="DK56">
        <v>0</v>
      </c>
      <c r="DL56">
        <v>0</v>
      </c>
      <c r="DM56">
        <v>0</v>
      </c>
      <c r="DR56">
        <v>0</v>
      </c>
      <c r="DS56">
        <v>0</v>
      </c>
      <c r="DT56">
        <v>54.343350000000001</v>
      </c>
      <c r="DU56">
        <v>53.524169999999998</v>
      </c>
      <c r="DV56">
        <v>95</v>
      </c>
      <c r="DW56">
        <v>22.397670000000002</v>
      </c>
      <c r="DX56">
        <v>75</v>
      </c>
      <c r="DY56">
        <v>63.059690000000003</v>
      </c>
      <c r="DZ56">
        <v>51.989710000000002</v>
      </c>
      <c r="EA56">
        <v>28.642060000000001</v>
      </c>
      <c r="EB56">
        <v>90</v>
      </c>
      <c r="EC56">
        <v>75</v>
      </c>
    </row>
    <row r="57" spans="2:133">
      <c r="B57" t="s">
        <v>474</v>
      </c>
      <c r="C57">
        <v>3</v>
      </c>
      <c r="D57" t="s">
        <v>472</v>
      </c>
      <c r="E57">
        <v>3</v>
      </c>
      <c r="F57" t="s">
        <v>638</v>
      </c>
      <c r="G57">
        <v>44</v>
      </c>
      <c r="H57" t="s">
        <v>547</v>
      </c>
      <c r="I57">
        <v>0</v>
      </c>
      <c r="J57">
        <v>1</v>
      </c>
      <c r="K57" t="s">
        <v>478</v>
      </c>
      <c r="L57" t="s">
        <v>482</v>
      </c>
      <c r="Y57">
        <v>96</v>
      </c>
      <c r="Z57">
        <v>75</v>
      </c>
      <c r="AA57">
        <v>95.358000000000004</v>
      </c>
      <c r="AB57">
        <v>75</v>
      </c>
      <c r="AC57">
        <v>29</v>
      </c>
      <c r="AF57">
        <v>75</v>
      </c>
      <c r="AG57">
        <v>52</v>
      </c>
      <c r="AH57">
        <v>63.062869999999997</v>
      </c>
      <c r="AI57">
        <v>75</v>
      </c>
      <c r="AJ57">
        <v>60</v>
      </c>
      <c r="AK57">
        <v>1020</v>
      </c>
      <c r="AL57">
        <v>789.96550000000002</v>
      </c>
      <c r="AM57">
        <v>210</v>
      </c>
      <c r="AN57">
        <v>999.96550000000002</v>
      </c>
      <c r="AR57">
        <v>145.72800000000001</v>
      </c>
      <c r="AS57">
        <v>35.097119999999997</v>
      </c>
      <c r="AT57">
        <v>9.1009449999999994</v>
      </c>
      <c r="AU57" t="s">
        <v>476</v>
      </c>
      <c r="AV57">
        <v>0</v>
      </c>
      <c r="AW57">
        <v>0</v>
      </c>
      <c r="AX57">
        <v>0</v>
      </c>
      <c r="AY57">
        <v>1</v>
      </c>
      <c r="AZ57">
        <v>35.097119999999997</v>
      </c>
      <c r="BA57">
        <v>0</v>
      </c>
      <c r="BB57">
        <v>0</v>
      </c>
      <c r="BE57">
        <v>60</v>
      </c>
      <c r="BF57">
        <v>119.0322</v>
      </c>
      <c r="BG57">
        <v>145.72800000000001</v>
      </c>
      <c r="BH57">
        <v>0</v>
      </c>
      <c r="BI57">
        <v>0</v>
      </c>
      <c r="BJ57">
        <v>0</v>
      </c>
      <c r="BK57">
        <v>0</v>
      </c>
      <c r="BL57">
        <v>0</v>
      </c>
      <c r="BM57">
        <v>0</v>
      </c>
      <c r="BN57">
        <v>0</v>
      </c>
      <c r="BO57">
        <v>0</v>
      </c>
      <c r="BP57">
        <v>0</v>
      </c>
      <c r="BQ57">
        <v>0</v>
      </c>
      <c r="BR57">
        <v>0</v>
      </c>
      <c r="BS57">
        <v>54</v>
      </c>
      <c r="BT57">
        <v>193.4684</v>
      </c>
      <c r="BU57">
        <v>60</v>
      </c>
      <c r="BV57">
        <v>214.9649</v>
      </c>
      <c r="BW57">
        <v>0</v>
      </c>
      <c r="BX57">
        <v>0</v>
      </c>
      <c r="BY57">
        <v>1</v>
      </c>
      <c r="BZ57">
        <v>262.5</v>
      </c>
      <c r="CA57">
        <v>210</v>
      </c>
      <c r="CB57">
        <v>670.93330000000003</v>
      </c>
      <c r="CC57">
        <v>210</v>
      </c>
      <c r="CD57">
        <v>0</v>
      </c>
      <c r="CE57">
        <v>0</v>
      </c>
      <c r="CF57">
        <v>0</v>
      </c>
      <c r="CL57" t="s">
        <v>477</v>
      </c>
      <c r="CM57">
        <v>0</v>
      </c>
      <c r="CN57">
        <v>0</v>
      </c>
      <c r="CQ57" t="s">
        <v>477</v>
      </c>
      <c r="CR57">
        <v>0</v>
      </c>
      <c r="CS57">
        <v>0</v>
      </c>
      <c r="CU57">
        <v>0</v>
      </c>
      <c r="CV57">
        <v>0</v>
      </c>
      <c r="CW57" t="s">
        <v>477</v>
      </c>
      <c r="CX57">
        <v>0</v>
      </c>
      <c r="CY57">
        <v>0</v>
      </c>
      <c r="CZ57">
        <v>0</v>
      </c>
      <c r="DA57" t="s">
        <v>477</v>
      </c>
      <c r="DB57">
        <v>0</v>
      </c>
      <c r="DC57">
        <v>0</v>
      </c>
      <c r="DN57">
        <v>0</v>
      </c>
      <c r="DO57">
        <v>0</v>
      </c>
    </row>
    <row r="58" spans="2:133">
      <c r="B58" t="s">
        <v>474</v>
      </c>
      <c r="C58">
        <v>3</v>
      </c>
      <c r="D58" t="s">
        <v>472</v>
      </c>
      <c r="E58">
        <v>3</v>
      </c>
      <c r="F58" t="s">
        <v>638</v>
      </c>
      <c r="G58">
        <v>45</v>
      </c>
      <c r="H58" t="s">
        <v>548</v>
      </c>
      <c r="I58">
        <v>0</v>
      </c>
      <c r="J58">
        <v>1</v>
      </c>
      <c r="K58" t="s">
        <v>478</v>
      </c>
      <c r="L58" t="s">
        <v>482</v>
      </c>
      <c r="Y58">
        <v>96</v>
      </c>
      <c r="Z58">
        <v>75</v>
      </c>
      <c r="AA58">
        <v>95.358000000000004</v>
      </c>
      <c r="AB58">
        <v>75</v>
      </c>
      <c r="AC58">
        <v>29</v>
      </c>
      <c r="AF58">
        <v>75</v>
      </c>
      <c r="AG58">
        <v>52</v>
      </c>
      <c r="AH58">
        <v>63.062869999999997</v>
      </c>
      <c r="AI58">
        <v>75</v>
      </c>
      <c r="AJ58">
        <v>150</v>
      </c>
      <c r="AK58">
        <v>2550</v>
      </c>
      <c r="AL58">
        <v>1264.922</v>
      </c>
      <c r="AM58">
        <v>0</v>
      </c>
      <c r="AN58">
        <v>1264.922</v>
      </c>
      <c r="AR58">
        <v>364.32</v>
      </c>
      <c r="AS58">
        <v>105</v>
      </c>
      <c r="AT58">
        <v>22.752369999999999</v>
      </c>
      <c r="AU58" t="s">
        <v>476</v>
      </c>
      <c r="AV58">
        <v>0</v>
      </c>
      <c r="AW58">
        <v>0</v>
      </c>
      <c r="AX58">
        <v>0</v>
      </c>
      <c r="AY58">
        <v>1</v>
      </c>
      <c r="AZ58">
        <v>105</v>
      </c>
      <c r="BA58">
        <v>0</v>
      </c>
      <c r="BB58">
        <v>0</v>
      </c>
      <c r="BE58">
        <v>150</v>
      </c>
      <c r="BF58">
        <v>297.58049999999997</v>
      </c>
      <c r="BG58">
        <v>364.32</v>
      </c>
      <c r="BH58">
        <v>0</v>
      </c>
      <c r="BI58">
        <v>0</v>
      </c>
      <c r="BJ58">
        <v>0</v>
      </c>
      <c r="BK58">
        <v>0</v>
      </c>
      <c r="BL58">
        <v>0</v>
      </c>
      <c r="BM58">
        <v>0</v>
      </c>
      <c r="BN58">
        <v>0</v>
      </c>
      <c r="BO58">
        <v>0</v>
      </c>
      <c r="BP58">
        <v>0</v>
      </c>
      <c r="BQ58">
        <v>0</v>
      </c>
      <c r="BR58">
        <v>0</v>
      </c>
      <c r="BS58">
        <v>120</v>
      </c>
      <c r="BT58">
        <v>429.9298</v>
      </c>
      <c r="BU58">
        <v>150</v>
      </c>
      <c r="BV58">
        <v>537.41219999999998</v>
      </c>
      <c r="BW58">
        <v>0</v>
      </c>
      <c r="BX58">
        <v>0</v>
      </c>
      <c r="BY58">
        <v>0</v>
      </c>
      <c r="BZ58">
        <v>0</v>
      </c>
      <c r="CA58">
        <v>0</v>
      </c>
      <c r="CB58">
        <v>967.34199999999998</v>
      </c>
      <c r="CC58">
        <v>0</v>
      </c>
      <c r="CD58">
        <v>0</v>
      </c>
      <c r="CE58">
        <v>0</v>
      </c>
      <c r="CF58">
        <v>0</v>
      </c>
      <c r="CL58" t="s">
        <v>477</v>
      </c>
      <c r="CM58">
        <v>0</v>
      </c>
      <c r="CN58">
        <v>0</v>
      </c>
      <c r="CQ58" t="s">
        <v>477</v>
      </c>
      <c r="CR58">
        <v>0</v>
      </c>
      <c r="CS58">
        <v>0</v>
      </c>
      <c r="CU58">
        <v>0</v>
      </c>
      <c r="CV58">
        <v>0</v>
      </c>
      <c r="CW58" t="s">
        <v>477</v>
      </c>
      <c r="CX58">
        <v>0</v>
      </c>
      <c r="CY58">
        <v>0</v>
      </c>
      <c r="CZ58">
        <v>0</v>
      </c>
      <c r="DA58" t="s">
        <v>477</v>
      </c>
      <c r="DB58">
        <v>0</v>
      </c>
      <c r="DC58">
        <v>0</v>
      </c>
      <c r="DN58">
        <v>0</v>
      </c>
      <c r="DO58">
        <v>0</v>
      </c>
    </row>
    <row r="59" spans="2:133">
      <c r="B59" t="s">
        <v>474</v>
      </c>
      <c r="C59">
        <v>3</v>
      </c>
      <c r="D59" t="s">
        <v>472</v>
      </c>
      <c r="E59">
        <v>3</v>
      </c>
      <c r="F59" t="s">
        <v>638</v>
      </c>
      <c r="G59">
        <v>46</v>
      </c>
      <c r="H59" t="s">
        <v>549</v>
      </c>
      <c r="I59">
        <v>0</v>
      </c>
      <c r="J59">
        <v>1</v>
      </c>
      <c r="K59" t="s">
        <v>478</v>
      </c>
      <c r="L59" t="s">
        <v>482</v>
      </c>
      <c r="Y59">
        <v>96</v>
      </c>
      <c r="Z59">
        <v>75</v>
      </c>
      <c r="AA59">
        <v>95.358000000000004</v>
      </c>
      <c r="AB59">
        <v>75</v>
      </c>
      <c r="AC59">
        <v>29</v>
      </c>
      <c r="AF59">
        <v>75</v>
      </c>
      <c r="AG59">
        <v>52</v>
      </c>
      <c r="AH59">
        <v>63.062869999999997</v>
      </c>
      <c r="AI59">
        <v>75</v>
      </c>
      <c r="AJ59">
        <v>185</v>
      </c>
      <c r="AK59">
        <v>3145</v>
      </c>
      <c r="AL59">
        <v>1361.229</v>
      </c>
      <c r="AM59">
        <v>0</v>
      </c>
      <c r="AN59">
        <v>1361.229</v>
      </c>
      <c r="AR59">
        <v>449.32799999999997</v>
      </c>
      <c r="AS59">
        <v>111</v>
      </c>
      <c r="AT59">
        <v>28.061250000000001</v>
      </c>
      <c r="AU59" t="s">
        <v>476</v>
      </c>
      <c r="AV59">
        <v>0</v>
      </c>
      <c r="AW59">
        <v>0</v>
      </c>
      <c r="AX59">
        <v>0</v>
      </c>
      <c r="AY59">
        <v>1</v>
      </c>
      <c r="AZ59">
        <v>111</v>
      </c>
      <c r="BA59">
        <v>0</v>
      </c>
      <c r="BB59">
        <v>0</v>
      </c>
      <c r="BE59">
        <v>185</v>
      </c>
      <c r="BF59">
        <v>367.01589999999999</v>
      </c>
      <c r="BG59">
        <v>449.32799999999997</v>
      </c>
      <c r="BH59">
        <v>0</v>
      </c>
      <c r="BI59">
        <v>0</v>
      </c>
      <c r="BJ59">
        <v>0</v>
      </c>
      <c r="BK59">
        <v>0</v>
      </c>
      <c r="BL59">
        <v>0</v>
      </c>
      <c r="BM59">
        <v>0</v>
      </c>
      <c r="BN59">
        <v>0</v>
      </c>
      <c r="BO59">
        <v>0</v>
      </c>
      <c r="BP59">
        <v>0</v>
      </c>
      <c r="BQ59">
        <v>0</v>
      </c>
      <c r="BR59">
        <v>0</v>
      </c>
      <c r="BS59">
        <v>93</v>
      </c>
      <c r="BT59">
        <v>331.4042</v>
      </c>
      <c r="BU59">
        <v>185</v>
      </c>
      <c r="BV59">
        <v>662.80830000000003</v>
      </c>
      <c r="BW59">
        <v>0</v>
      </c>
      <c r="BX59">
        <v>0</v>
      </c>
      <c r="BY59">
        <v>0</v>
      </c>
      <c r="BZ59">
        <v>0</v>
      </c>
      <c r="CA59">
        <v>0</v>
      </c>
      <c r="CB59">
        <v>994.21249999999998</v>
      </c>
      <c r="CC59">
        <v>0</v>
      </c>
      <c r="CD59">
        <v>0</v>
      </c>
      <c r="CE59">
        <v>0</v>
      </c>
      <c r="CF59">
        <v>0</v>
      </c>
      <c r="CL59" t="s">
        <v>477</v>
      </c>
      <c r="CM59">
        <v>0</v>
      </c>
      <c r="CN59">
        <v>0</v>
      </c>
      <c r="CQ59" t="s">
        <v>477</v>
      </c>
      <c r="CR59">
        <v>0</v>
      </c>
      <c r="CS59">
        <v>0</v>
      </c>
      <c r="CU59">
        <v>0</v>
      </c>
      <c r="CV59">
        <v>0</v>
      </c>
      <c r="CW59" t="s">
        <v>477</v>
      </c>
      <c r="CX59">
        <v>0</v>
      </c>
      <c r="CY59">
        <v>0</v>
      </c>
      <c r="CZ59">
        <v>0</v>
      </c>
      <c r="DA59" t="s">
        <v>477</v>
      </c>
      <c r="DB59">
        <v>0</v>
      </c>
      <c r="DC59">
        <v>0</v>
      </c>
      <c r="DN59">
        <v>0</v>
      </c>
      <c r="DO59">
        <v>0</v>
      </c>
    </row>
    <row r="60" spans="2:133">
      <c r="B60" t="s">
        <v>474</v>
      </c>
      <c r="C60">
        <v>3</v>
      </c>
      <c r="D60" t="s">
        <v>472</v>
      </c>
      <c r="E60">
        <v>3</v>
      </c>
      <c r="F60" t="s">
        <v>638</v>
      </c>
      <c r="G60">
        <v>47</v>
      </c>
      <c r="H60" t="s">
        <v>550</v>
      </c>
      <c r="I60">
        <v>0</v>
      </c>
      <c r="J60">
        <v>1</v>
      </c>
      <c r="K60" t="s">
        <v>478</v>
      </c>
      <c r="L60" t="s">
        <v>482</v>
      </c>
      <c r="Y60">
        <v>96</v>
      </c>
      <c r="Z60">
        <v>75</v>
      </c>
      <c r="AA60">
        <v>95.358000000000004</v>
      </c>
      <c r="AB60">
        <v>75</v>
      </c>
      <c r="AC60">
        <v>29</v>
      </c>
      <c r="AF60">
        <v>75</v>
      </c>
      <c r="AG60">
        <v>52</v>
      </c>
      <c r="AH60">
        <v>63.062869999999997</v>
      </c>
      <c r="AI60">
        <v>75</v>
      </c>
      <c r="AJ60">
        <v>250</v>
      </c>
      <c r="AK60">
        <v>4250</v>
      </c>
      <c r="AL60">
        <v>3247.7730000000001</v>
      </c>
      <c r="AM60">
        <v>839.99990000000003</v>
      </c>
      <c r="AN60">
        <v>4087.7730000000001</v>
      </c>
      <c r="AR60">
        <v>607.20000000000005</v>
      </c>
      <c r="AS60">
        <v>144.29429999999999</v>
      </c>
      <c r="AT60">
        <v>37.920610000000003</v>
      </c>
      <c r="AU60" t="s">
        <v>476</v>
      </c>
      <c r="AV60">
        <v>0</v>
      </c>
      <c r="AW60">
        <v>0</v>
      </c>
      <c r="AX60">
        <v>0</v>
      </c>
      <c r="AY60">
        <v>1</v>
      </c>
      <c r="AZ60">
        <v>144.29429999999999</v>
      </c>
      <c r="BA60">
        <v>0</v>
      </c>
      <c r="BB60">
        <v>0</v>
      </c>
      <c r="BE60">
        <v>250</v>
      </c>
      <c r="BF60">
        <v>495.96749999999997</v>
      </c>
      <c r="BG60">
        <v>607.20000000000005</v>
      </c>
      <c r="BH60">
        <v>0</v>
      </c>
      <c r="BI60">
        <v>0</v>
      </c>
      <c r="BJ60">
        <v>0</v>
      </c>
      <c r="BK60">
        <v>0</v>
      </c>
      <c r="BL60">
        <v>0</v>
      </c>
      <c r="BM60">
        <v>0</v>
      </c>
      <c r="BN60">
        <v>0</v>
      </c>
      <c r="BO60">
        <v>0</v>
      </c>
      <c r="BP60">
        <v>0</v>
      </c>
      <c r="BQ60">
        <v>0</v>
      </c>
      <c r="BR60">
        <v>0</v>
      </c>
      <c r="BS60">
        <v>225</v>
      </c>
      <c r="BT60">
        <v>806.11829999999998</v>
      </c>
      <c r="BU60">
        <v>250</v>
      </c>
      <c r="BV60">
        <v>895.68700000000001</v>
      </c>
      <c r="BW60">
        <v>0</v>
      </c>
      <c r="BX60">
        <v>0</v>
      </c>
      <c r="BY60">
        <v>4</v>
      </c>
      <c r="BZ60">
        <v>1050</v>
      </c>
      <c r="CA60">
        <v>839.99990000000003</v>
      </c>
      <c r="CB60">
        <v>2751.8049999999998</v>
      </c>
      <c r="CC60">
        <v>839.99990000000003</v>
      </c>
      <c r="CD60">
        <v>0</v>
      </c>
      <c r="CE60">
        <v>0</v>
      </c>
      <c r="CF60">
        <v>0</v>
      </c>
      <c r="CL60" t="s">
        <v>477</v>
      </c>
      <c r="CM60">
        <v>0</v>
      </c>
      <c r="CN60">
        <v>0</v>
      </c>
      <c r="CQ60" t="s">
        <v>477</v>
      </c>
      <c r="CR60">
        <v>0</v>
      </c>
      <c r="CS60">
        <v>0</v>
      </c>
      <c r="CU60">
        <v>0</v>
      </c>
      <c r="CV60">
        <v>0</v>
      </c>
      <c r="CW60" t="s">
        <v>477</v>
      </c>
      <c r="CX60">
        <v>0</v>
      </c>
      <c r="CY60">
        <v>0</v>
      </c>
      <c r="CZ60">
        <v>0</v>
      </c>
      <c r="DA60" t="s">
        <v>477</v>
      </c>
      <c r="DB60">
        <v>0</v>
      </c>
      <c r="DC60">
        <v>0</v>
      </c>
      <c r="DN60">
        <v>0</v>
      </c>
      <c r="DO60">
        <v>0</v>
      </c>
    </row>
    <row r="61" spans="2:133">
      <c r="B61" t="s">
        <v>474</v>
      </c>
      <c r="C61">
        <v>3</v>
      </c>
      <c r="D61" t="s">
        <v>472</v>
      </c>
      <c r="E61">
        <v>3</v>
      </c>
      <c r="F61" t="s">
        <v>638</v>
      </c>
      <c r="G61">
        <v>48</v>
      </c>
      <c r="H61" t="s">
        <v>551</v>
      </c>
      <c r="I61">
        <v>0</v>
      </c>
      <c r="J61">
        <v>1</v>
      </c>
      <c r="K61" t="s">
        <v>478</v>
      </c>
      <c r="L61" t="s">
        <v>482</v>
      </c>
      <c r="Y61">
        <v>96</v>
      </c>
      <c r="Z61">
        <v>75</v>
      </c>
      <c r="AA61">
        <v>95.358000000000004</v>
      </c>
      <c r="AB61">
        <v>75</v>
      </c>
      <c r="AC61">
        <v>29</v>
      </c>
      <c r="AF61">
        <v>75</v>
      </c>
      <c r="AG61">
        <v>52</v>
      </c>
      <c r="AH61">
        <v>63.062869999999997</v>
      </c>
      <c r="AI61">
        <v>75</v>
      </c>
      <c r="AJ61">
        <v>130</v>
      </c>
      <c r="AK61">
        <v>2210</v>
      </c>
      <c r="AL61">
        <v>2192.8420000000001</v>
      </c>
      <c r="AM61">
        <v>839.99990000000003</v>
      </c>
      <c r="AN61">
        <v>3032.8420000000001</v>
      </c>
      <c r="AR61">
        <v>315.74400000000003</v>
      </c>
      <c r="AS61">
        <v>97.425060000000002</v>
      </c>
      <c r="AT61">
        <v>19.718720000000001</v>
      </c>
      <c r="AU61" t="s">
        <v>476</v>
      </c>
      <c r="AV61">
        <v>0</v>
      </c>
      <c r="AW61">
        <v>0</v>
      </c>
      <c r="AX61">
        <v>0</v>
      </c>
      <c r="AY61">
        <v>1</v>
      </c>
      <c r="AZ61">
        <v>97.425060000000002</v>
      </c>
      <c r="BA61">
        <v>0</v>
      </c>
      <c r="BB61">
        <v>0</v>
      </c>
      <c r="BE61">
        <v>130</v>
      </c>
      <c r="BF61">
        <v>257.90309999999999</v>
      </c>
      <c r="BG61">
        <v>315.74400000000003</v>
      </c>
      <c r="BH61">
        <v>0</v>
      </c>
      <c r="BI61">
        <v>0</v>
      </c>
      <c r="BJ61">
        <v>0</v>
      </c>
      <c r="BK61">
        <v>0</v>
      </c>
      <c r="BL61">
        <v>0</v>
      </c>
      <c r="BM61">
        <v>0</v>
      </c>
      <c r="BN61">
        <v>0</v>
      </c>
      <c r="BO61">
        <v>0</v>
      </c>
      <c r="BP61">
        <v>0</v>
      </c>
      <c r="BQ61">
        <v>0</v>
      </c>
      <c r="BR61">
        <v>0</v>
      </c>
      <c r="BS61">
        <v>117</v>
      </c>
      <c r="BT61">
        <v>419.18150000000003</v>
      </c>
      <c r="BU61">
        <v>130</v>
      </c>
      <c r="BV61">
        <v>465.75720000000001</v>
      </c>
      <c r="BW61">
        <v>0</v>
      </c>
      <c r="BX61">
        <v>0</v>
      </c>
      <c r="BY61">
        <v>4</v>
      </c>
      <c r="BZ61">
        <v>1050</v>
      </c>
      <c r="CA61">
        <v>839.99990000000003</v>
      </c>
      <c r="CB61">
        <v>1934.9390000000001</v>
      </c>
      <c r="CC61">
        <v>839.99990000000003</v>
      </c>
      <c r="CD61">
        <v>0</v>
      </c>
      <c r="CE61">
        <v>0</v>
      </c>
      <c r="CF61">
        <v>0</v>
      </c>
      <c r="CL61" t="s">
        <v>477</v>
      </c>
      <c r="CM61">
        <v>0</v>
      </c>
      <c r="CN61">
        <v>0</v>
      </c>
      <c r="CQ61" t="s">
        <v>477</v>
      </c>
      <c r="CR61">
        <v>0</v>
      </c>
      <c r="CS61">
        <v>0</v>
      </c>
      <c r="CU61">
        <v>0</v>
      </c>
      <c r="CV61">
        <v>0</v>
      </c>
      <c r="CW61" t="s">
        <v>477</v>
      </c>
      <c r="CX61">
        <v>0</v>
      </c>
      <c r="CY61">
        <v>0</v>
      </c>
      <c r="CZ61">
        <v>0</v>
      </c>
      <c r="DA61" t="s">
        <v>477</v>
      </c>
      <c r="DB61">
        <v>0</v>
      </c>
      <c r="DC61">
        <v>0</v>
      </c>
      <c r="DN61">
        <v>0</v>
      </c>
      <c r="DO61">
        <v>0</v>
      </c>
    </row>
    <row r="62" spans="2:133">
      <c r="B62" t="s">
        <v>474</v>
      </c>
      <c r="C62">
        <v>3</v>
      </c>
      <c r="D62" t="s">
        <v>472</v>
      </c>
      <c r="E62">
        <v>3</v>
      </c>
      <c r="F62" t="s">
        <v>638</v>
      </c>
      <c r="G62">
        <v>49</v>
      </c>
      <c r="H62" t="s">
        <v>552</v>
      </c>
      <c r="I62">
        <v>0</v>
      </c>
      <c r="J62">
        <v>1</v>
      </c>
      <c r="K62" t="s">
        <v>478</v>
      </c>
      <c r="L62" t="s">
        <v>482</v>
      </c>
      <c r="Y62">
        <v>96</v>
      </c>
      <c r="Z62">
        <v>75</v>
      </c>
      <c r="AA62">
        <v>95.358000000000004</v>
      </c>
      <c r="AB62">
        <v>75</v>
      </c>
      <c r="AC62">
        <v>29</v>
      </c>
      <c r="AF62">
        <v>75</v>
      </c>
      <c r="AG62">
        <v>52</v>
      </c>
      <c r="AH62">
        <v>63.062869999999997</v>
      </c>
      <c r="AI62">
        <v>75</v>
      </c>
      <c r="AJ62">
        <v>130</v>
      </c>
      <c r="AK62">
        <v>2210</v>
      </c>
      <c r="AL62">
        <v>2192.8420000000001</v>
      </c>
      <c r="AM62">
        <v>839.99990000000003</v>
      </c>
      <c r="AN62">
        <v>3032.8420000000001</v>
      </c>
      <c r="AR62">
        <v>315.74400000000003</v>
      </c>
      <c r="AS62">
        <v>97.425060000000002</v>
      </c>
      <c r="AT62">
        <v>19.718720000000001</v>
      </c>
      <c r="AU62" t="s">
        <v>476</v>
      </c>
      <c r="AV62">
        <v>0</v>
      </c>
      <c r="AW62">
        <v>0</v>
      </c>
      <c r="AX62">
        <v>0</v>
      </c>
      <c r="AY62">
        <v>1</v>
      </c>
      <c r="AZ62">
        <v>97.425060000000002</v>
      </c>
      <c r="BA62">
        <v>0</v>
      </c>
      <c r="BB62">
        <v>0</v>
      </c>
      <c r="BE62">
        <v>130</v>
      </c>
      <c r="BF62">
        <v>257.90309999999999</v>
      </c>
      <c r="BG62">
        <v>315.74400000000003</v>
      </c>
      <c r="BH62">
        <v>0</v>
      </c>
      <c r="BI62">
        <v>0</v>
      </c>
      <c r="BJ62">
        <v>0</v>
      </c>
      <c r="BK62">
        <v>0</v>
      </c>
      <c r="BL62">
        <v>0</v>
      </c>
      <c r="BM62">
        <v>0</v>
      </c>
      <c r="BN62">
        <v>0</v>
      </c>
      <c r="BO62">
        <v>0</v>
      </c>
      <c r="BP62">
        <v>0</v>
      </c>
      <c r="BQ62">
        <v>0</v>
      </c>
      <c r="BR62">
        <v>0</v>
      </c>
      <c r="BS62">
        <v>117</v>
      </c>
      <c r="BT62">
        <v>419.18150000000003</v>
      </c>
      <c r="BU62">
        <v>130</v>
      </c>
      <c r="BV62">
        <v>465.75720000000001</v>
      </c>
      <c r="BW62">
        <v>0</v>
      </c>
      <c r="BX62">
        <v>0</v>
      </c>
      <c r="BY62">
        <v>4</v>
      </c>
      <c r="BZ62">
        <v>1050</v>
      </c>
      <c r="CA62">
        <v>839.99990000000003</v>
      </c>
      <c r="CB62">
        <v>1934.9390000000001</v>
      </c>
      <c r="CC62">
        <v>839.99990000000003</v>
      </c>
      <c r="CD62">
        <v>0</v>
      </c>
      <c r="CE62">
        <v>0</v>
      </c>
      <c r="CF62">
        <v>0</v>
      </c>
      <c r="CL62" t="s">
        <v>477</v>
      </c>
      <c r="CM62">
        <v>0</v>
      </c>
      <c r="CN62">
        <v>0</v>
      </c>
      <c r="CQ62" t="s">
        <v>477</v>
      </c>
      <c r="CR62">
        <v>0</v>
      </c>
      <c r="CS62">
        <v>0</v>
      </c>
      <c r="CU62">
        <v>0</v>
      </c>
      <c r="CV62">
        <v>0</v>
      </c>
      <c r="CW62" t="s">
        <v>477</v>
      </c>
      <c r="CX62">
        <v>0</v>
      </c>
      <c r="CY62">
        <v>0</v>
      </c>
      <c r="CZ62">
        <v>0</v>
      </c>
      <c r="DA62" t="s">
        <v>477</v>
      </c>
      <c r="DB62">
        <v>0</v>
      </c>
      <c r="DC62">
        <v>0</v>
      </c>
      <c r="DN62">
        <v>0</v>
      </c>
      <c r="DO62">
        <v>0</v>
      </c>
    </row>
    <row r="63" spans="2:133">
      <c r="B63" t="s">
        <v>474</v>
      </c>
      <c r="C63">
        <v>3</v>
      </c>
      <c r="D63" t="s">
        <v>472</v>
      </c>
      <c r="E63">
        <v>3</v>
      </c>
      <c r="F63" t="s">
        <v>638</v>
      </c>
      <c r="G63">
        <v>50</v>
      </c>
      <c r="H63" t="s">
        <v>553</v>
      </c>
      <c r="I63">
        <v>0</v>
      </c>
      <c r="J63">
        <v>1</v>
      </c>
      <c r="K63" t="s">
        <v>478</v>
      </c>
      <c r="L63" t="s">
        <v>564</v>
      </c>
      <c r="Y63">
        <v>96</v>
      </c>
      <c r="Z63">
        <v>75</v>
      </c>
      <c r="AA63">
        <v>77.382000000000005</v>
      </c>
      <c r="AB63">
        <v>70.292000000000002</v>
      </c>
      <c r="AC63">
        <v>29</v>
      </c>
      <c r="AF63">
        <v>75</v>
      </c>
      <c r="AG63">
        <v>52</v>
      </c>
      <c r="AH63">
        <v>63.062869999999997</v>
      </c>
      <c r="AI63">
        <v>75</v>
      </c>
      <c r="AJ63">
        <v>115</v>
      </c>
      <c r="AK63">
        <v>1955</v>
      </c>
      <c r="AL63">
        <v>2008.0329999999999</v>
      </c>
      <c r="AM63">
        <v>0</v>
      </c>
      <c r="AN63">
        <v>2008.0329999999999</v>
      </c>
      <c r="AR63">
        <v>1773.049</v>
      </c>
      <c r="AS63">
        <v>89.214250000000007</v>
      </c>
      <c r="AT63">
        <v>110.7298</v>
      </c>
      <c r="AU63" t="s">
        <v>476</v>
      </c>
      <c r="AV63">
        <v>0</v>
      </c>
      <c r="AW63">
        <v>0</v>
      </c>
      <c r="AX63">
        <v>0</v>
      </c>
      <c r="AY63">
        <v>1</v>
      </c>
      <c r="AZ63">
        <v>110.7298</v>
      </c>
      <c r="BA63">
        <v>0</v>
      </c>
      <c r="BB63">
        <v>0</v>
      </c>
      <c r="BE63">
        <v>115</v>
      </c>
      <c r="BF63">
        <v>42.673050000000003</v>
      </c>
      <c r="BG63">
        <v>279.31200000000001</v>
      </c>
      <c r="BH63">
        <v>195.5</v>
      </c>
      <c r="BI63">
        <v>935.32</v>
      </c>
      <c r="BJ63">
        <v>1493.7370000000001</v>
      </c>
      <c r="BK63">
        <v>0</v>
      </c>
      <c r="BL63">
        <v>0</v>
      </c>
      <c r="BM63">
        <v>0</v>
      </c>
      <c r="BN63">
        <v>0</v>
      </c>
      <c r="BO63">
        <v>0</v>
      </c>
      <c r="BP63">
        <v>0</v>
      </c>
      <c r="BQ63">
        <v>0</v>
      </c>
      <c r="BR63">
        <v>0</v>
      </c>
      <c r="BS63">
        <v>173</v>
      </c>
      <c r="BT63">
        <v>618.024</v>
      </c>
      <c r="BU63">
        <v>115</v>
      </c>
      <c r="BV63">
        <v>412.01600000000002</v>
      </c>
      <c r="BW63">
        <v>0</v>
      </c>
      <c r="BX63">
        <v>0</v>
      </c>
      <c r="BY63">
        <v>0</v>
      </c>
      <c r="BZ63">
        <v>0</v>
      </c>
      <c r="CA63">
        <v>0</v>
      </c>
      <c r="CB63">
        <v>1030.04</v>
      </c>
      <c r="CC63">
        <v>0</v>
      </c>
      <c r="CD63">
        <v>0</v>
      </c>
      <c r="CE63">
        <v>0</v>
      </c>
      <c r="CF63">
        <v>0</v>
      </c>
      <c r="CL63" t="s">
        <v>477</v>
      </c>
      <c r="CM63">
        <v>0</v>
      </c>
      <c r="CN63">
        <v>0</v>
      </c>
      <c r="CQ63" t="s">
        <v>477</v>
      </c>
      <c r="CR63">
        <v>0</v>
      </c>
      <c r="CS63">
        <v>0</v>
      </c>
      <c r="CU63">
        <v>0</v>
      </c>
      <c r="CV63">
        <v>0</v>
      </c>
      <c r="CW63" t="s">
        <v>477</v>
      </c>
      <c r="CX63">
        <v>0</v>
      </c>
      <c r="CY63">
        <v>0</v>
      </c>
      <c r="CZ63">
        <v>0</v>
      </c>
      <c r="DA63" t="s">
        <v>477</v>
      </c>
      <c r="DB63">
        <v>0</v>
      </c>
      <c r="DC63">
        <v>0</v>
      </c>
      <c r="DN63">
        <v>0</v>
      </c>
      <c r="DO63">
        <v>0</v>
      </c>
    </row>
    <row r="64" spans="2:133">
      <c r="B64" t="s">
        <v>474</v>
      </c>
      <c r="C64">
        <v>3</v>
      </c>
      <c r="D64" t="s">
        <v>472</v>
      </c>
      <c r="E64">
        <v>3</v>
      </c>
      <c r="F64" t="s">
        <v>638</v>
      </c>
      <c r="G64">
        <v>51</v>
      </c>
      <c r="H64" t="s">
        <v>554</v>
      </c>
      <c r="I64">
        <v>0</v>
      </c>
      <c r="J64">
        <v>1</v>
      </c>
      <c r="K64" t="s">
        <v>478</v>
      </c>
      <c r="L64" t="s">
        <v>479</v>
      </c>
      <c r="Y64">
        <v>96</v>
      </c>
      <c r="Z64">
        <v>75</v>
      </c>
      <c r="AA64">
        <v>93.86</v>
      </c>
      <c r="AB64">
        <v>75</v>
      </c>
      <c r="AC64">
        <v>29</v>
      </c>
      <c r="AF64">
        <v>75</v>
      </c>
      <c r="AG64">
        <v>52</v>
      </c>
      <c r="AH64">
        <v>63.062869999999997</v>
      </c>
      <c r="AI64">
        <v>75</v>
      </c>
      <c r="AJ64">
        <v>115</v>
      </c>
      <c r="AK64">
        <v>1955</v>
      </c>
      <c r="AL64">
        <v>2109.3690000000001</v>
      </c>
      <c r="AM64">
        <v>0</v>
      </c>
      <c r="AN64">
        <v>2109.3690000000001</v>
      </c>
      <c r="AR64">
        <v>1799.027</v>
      </c>
      <c r="AS64">
        <v>93.716449999999995</v>
      </c>
      <c r="AT64">
        <v>112.35209999999999</v>
      </c>
      <c r="AU64" t="s">
        <v>476</v>
      </c>
      <c r="AV64">
        <v>0</v>
      </c>
      <c r="AW64">
        <v>0</v>
      </c>
      <c r="AX64">
        <v>0</v>
      </c>
      <c r="AY64">
        <v>1</v>
      </c>
      <c r="AZ64">
        <v>112.35209999999999</v>
      </c>
      <c r="BA64">
        <v>0</v>
      </c>
      <c r="BB64">
        <v>0</v>
      </c>
      <c r="BE64">
        <v>115</v>
      </c>
      <c r="BF64">
        <v>222.34899999999999</v>
      </c>
      <c r="BG64">
        <v>279.31200000000001</v>
      </c>
      <c r="BH64">
        <v>198.9</v>
      </c>
      <c r="BI64">
        <v>856.97969999999998</v>
      </c>
      <c r="BJ64">
        <v>1519.7149999999999</v>
      </c>
      <c r="BK64">
        <v>0</v>
      </c>
      <c r="BL64">
        <v>0</v>
      </c>
      <c r="BM64">
        <v>0</v>
      </c>
      <c r="BN64">
        <v>0</v>
      </c>
      <c r="BO64">
        <v>0</v>
      </c>
      <c r="BP64">
        <v>0</v>
      </c>
      <c r="BQ64">
        <v>0</v>
      </c>
      <c r="BR64">
        <v>0</v>
      </c>
      <c r="BS64">
        <v>173</v>
      </c>
      <c r="BT64">
        <v>618.024</v>
      </c>
      <c r="BU64">
        <v>115</v>
      </c>
      <c r="BV64">
        <v>412.01600000000002</v>
      </c>
      <c r="BW64">
        <v>0</v>
      </c>
      <c r="BX64">
        <v>0</v>
      </c>
      <c r="BY64">
        <v>0</v>
      </c>
      <c r="BZ64">
        <v>0</v>
      </c>
      <c r="CA64">
        <v>0</v>
      </c>
      <c r="CB64">
        <v>1030.04</v>
      </c>
      <c r="CC64">
        <v>0</v>
      </c>
      <c r="CD64">
        <v>0</v>
      </c>
      <c r="CE64">
        <v>0</v>
      </c>
      <c r="CF64">
        <v>0</v>
      </c>
      <c r="CL64" t="s">
        <v>477</v>
      </c>
      <c r="CM64">
        <v>0</v>
      </c>
      <c r="CN64">
        <v>0</v>
      </c>
      <c r="CQ64" t="s">
        <v>477</v>
      </c>
      <c r="CR64">
        <v>0</v>
      </c>
      <c r="CS64">
        <v>0</v>
      </c>
      <c r="CU64">
        <v>0</v>
      </c>
      <c r="CV64">
        <v>0</v>
      </c>
      <c r="CW64" t="s">
        <v>477</v>
      </c>
      <c r="CX64">
        <v>0</v>
      </c>
      <c r="CY64">
        <v>0</v>
      </c>
      <c r="CZ64">
        <v>0</v>
      </c>
      <c r="DA64" t="s">
        <v>477</v>
      </c>
      <c r="DB64">
        <v>0</v>
      </c>
      <c r="DC64">
        <v>0</v>
      </c>
      <c r="DN64">
        <v>0</v>
      </c>
      <c r="DO64">
        <v>0</v>
      </c>
    </row>
    <row r="65" spans="2:119">
      <c r="B65" t="s">
        <v>474</v>
      </c>
      <c r="C65">
        <v>3</v>
      </c>
      <c r="D65" t="s">
        <v>472</v>
      </c>
      <c r="E65">
        <v>3</v>
      </c>
      <c r="F65" t="s">
        <v>638</v>
      </c>
      <c r="G65">
        <v>52</v>
      </c>
      <c r="H65" t="s">
        <v>555</v>
      </c>
      <c r="I65">
        <v>0</v>
      </c>
      <c r="J65">
        <v>1</v>
      </c>
      <c r="K65" t="s">
        <v>478</v>
      </c>
      <c r="L65" t="s">
        <v>479</v>
      </c>
      <c r="Y65">
        <v>96</v>
      </c>
      <c r="Z65">
        <v>75</v>
      </c>
      <c r="AA65">
        <v>93.86</v>
      </c>
      <c r="AB65">
        <v>75</v>
      </c>
      <c r="AC65">
        <v>29</v>
      </c>
      <c r="AF65">
        <v>75</v>
      </c>
      <c r="AG65">
        <v>52</v>
      </c>
      <c r="AH65">
        <v>63.062869999999997</v>
      </c>
      <c r="AI65">
        <v>75</v>
      </c>
      <c r="AJ65">
        <v>780</v>
      </c>
      <c r="AK65">
        <v>13260</v>
      </c>
      <c r="AL65">
        <v>19920.14</v>
      </c>
      <c r="AM65">
        <v>5460</v>
      </c>
      <c r="AN65">
        <v>25380.14</v>
      </c>
      <c r="AR65">
        <v>6736.6009999999997</v>
      </c>
      <c r="AS65">
        <v>885.02549999999997</v>
      </c>
      <c r="AT65">
        <v>420.7115</v>
      </c>
      <c r="AU65" t="s">
        <v>476</v>
      </c>
      <c r="AV65">
        <v>0</v>
      </c>
      <c r="AW65">
        <v>0</v>
      </c>
      <c r="AX65">
        <v>0</v>
      </c>
      <c r="AY65">
        <v>1</v>
      </c>
      <c r="AZ65">
        <v>885.02549999999997</v>
      </c>
      <c r="BA65">
        <v>0</v>
      </c>
      <c r="BB65">
        <v>0</v>
      </c>
      <c r="BE65">
        <v>780</v>
      </c>
      <c r="BF65">
        <v>1508.107</v>
      </c>
      <c r="BG65">
        <v>1894.4639999999999</v>
      </c>
      <c r="BH65">
        <v>534.4</v>
      </c>
      <c r="BI65">
        <v>1794.1389999999999</v>
      </c>
      <c r="BJ65">
        <v>4083.1370000000002</v>
      </c>
      <c r="BK65">
        <v>30</v>
      </c>
      <c r="BL65">
        <v>1581.2370000000001</v>
      </c>
      <c r="BM65">
        <v>759</v>
      </c>
      <c r="BN65">
        <v>0</v>
      </c>
      <c r="BO65">
        <v>0</v>
      </c>
      <c r="BP65">
        <v>0</v>
      </c>
      <c r="BQ65">
        <v>0</v>
      </c>
      <c r="BR65">
        <v>0</v>
      </c>
      <c r="BS65">
        <v>1092</v>
      </c>
      <c r="BT65">
        <v>3912.3609999999999</v>
      </c>
      <c r="BU65">
        <v>1200</v>
      </c>
      <c r="BV65">
        <v>4299.2979999999998</v>
      </c>
      <c r="BW65">
        <v>0</v>
      </c>
      <c r="BX65">
        <v>0</v>
      </c>
      <c r="BY65">
        <v>26</v>
      </c>
      <c r="BZ65">
        <v>6825</v>
      </c>
      <c r="CA65">
        <v>5460</v>
      </c>
      <c r="CB65">
        <v>15036.66</v>
      </c>
      <c r="CC65">
        <v>5460</v>
      </c>
      <c r="CD65">
        <v>0</v>
      </c>
      <c r="CE65">
        <v>0</v>
      </c>
      <c r="CF65">
        <v>0</v>
      </c>
      <c r="CL65" t="s">
        <v>477</v>
      </c>
      <c r="CM65">
        <v>0</v>
      </c>
      <c r="CN65">
        <v>0</v>
      </c>
      <c r="CQ65" t="s">
        <v>477</v>
      </c>
      <c r="CR65">
        <v>0</v>
      </c>
      <c r="CS65">
        <v>0</v>
      </c>
      <c r="CU65">
        <v>0</v>
      </c>
      <c r="CV65">
        <v>0</v>
      </c>
      <c r="CW65" t="s">
        <v>477</v>
      </c>
      <c r="CX65">
        <v>0</v>
      </c>
      <c r="CY65">
        <v>0</v>
      </c>
      <c r="CZ65">
        <v>0</v>
      </c>
      <c r="DA65" t="s">
        <v>477</v>
      </c>
      <c r="DB65">
        <v>0</v>
      </c>
      <c r="DC65">
        <v>0</v>
      </c>
      <c r="DN65">
        <v>0</v>
      </c>
      <c r="DO65">
        <v>0</v>
      </c>
    </row>
    <row r="66" spans="2:119">
      <c r="B66" t="s">
        <v>474</v>
      </c>
      <c r="C66">
        <v>3</v>
      </c>
      <c r="D66" t="s">
        <v>472</v>
      </c>
      <c r="E66">
        <v>3</v>
      </c>
      <c r="F66" t="s">
        <v>638</v>
      </c>
      <c r="G66">
        <v>53</v>
      </c>
      <c r="H66" t="s">
        <v>556</v>
      </c>
      <c r="I66">
        <v>0</v>
      </c>
      <c r="J66">
        <v>1</v>
      </c>
      <c r="K66" t="s">
        <v>478</v>
      </c>
      <c r="L66" t="s">
        <v>482</v>
      </c>
      <c r="Y66">
        <v>96</v>
      </c>
      <c r="Z66">
        <v>75</v>
      </c>
      <c r="AA66">
        <v>95.358000000000004</v>
      </c>
      <c r="AB66">
        <v>75</v>
      </c>
      <c r="AC66">
        <v>29</v>
      </c>
      <c r="AF66">
        <v>75</v>
      </c>
      <c r="AG66">
        <v>52</v>
      </c>
      <c r="AH66">
        <v>63.062869999999997</v>
      </c>
      <c r="AI66">
        <v>75</v>
      </c>
      <c r="AJ66">
        <v>790</v>
      </c>
      <c r="AK66">
        <v>13430</v>
      </c>
      <c r="AL66">
        <v>19456.5</v>
      </c>
      <c r="AM66">
        <v>5460</v>
      </c>
      <c r="AN66">
        <v>24916.5</v>
      </c>
      <c r="AR66">
        <v>6566.0540000000001</v>
      </c>
      <c r="AS66">
        <v>864.42669999999998</v>
      </c>
      <c r="AT66">
        <v>410.06049999999999</v>
      </c>
      <c r="AU66" t="s">
        <v>476</v>
      </c>
      <c r="AV66">
        <v>0</v>
      </c>
      <c r="AW66">
        <v>0</v>
      </c>
      <c r="AX66">
        <v>0</v>
      </c>
      <c r="AY66">
        <v>1</v>
      </c>
      <c r="AZ66">
        <v>864.42669999999998</v>
      </c>
      <c r="BA66">
        <v>0</v>
      </c>
      <c r="BB66">
        <v>0</v>
      </c>
      <c r="BE66">
        <v>790</v>
      </c>
      <c r="BF66">
        <v>1567.2570000000001</v>
      </c>
      <c r="BG66">
        <v>1918.752</v>
      </c>
      <c r="BH66">
        <v>508.9</v>
      </c>
      <c r="BI66">
        <v>2012.567</v>
      </c>
      <c r="BJ66">
        <v>3888.3009999999999</v>
      </c>
      <c r="BK66">
        <v>30</v>
      </c>
      <c r="BL66">
        <v>789.86249999999995</v>
      </c>
      <c r="BM66">
        <v>759</v>
      </c>
      <c r="BN66">
        <v>0</v>
      </c>
      <c r="BO66">
        <v>0</v>
      </c>
      <c r="BP66">
        <v>0</v>
      </c>
      <c r="BQ66">
        <v>0</v>
      </c>
      <c r="BR66">
        <v>0</v>
      </c>
      <c r="BS66">
        <v>1106</v>
      </c>
      <c r="BT66">
        <v>3962.5189999999998</v>
      </c>
      <c r="BU66">
        <v>1200</v>
      </c>
      <c r="BV66">
        <v>4299.2979999999998</v>
      </c>
      <c r="BW66">
        <v>0</v>
      </c>
      <c r="BX66">
        <v>0</v>
      </c>
      <c r="BY66">
        <v>26</v>
      </c>
      <c r="BZ66">
        <v>6825</v>
      </c>
      <c r="CA66">
        <v>5460</v>
      </c>
      <c r="CB66">
        <v>15086.82</v>
      </c>
      <c r="CC66">
        <v>5460</v>
      </c>
      <c r="CD66">
        <v>0</v>
      </c>
      <c r="CE66">
        <v>0</v>
      </c>
      <c r="CF66">
        <v>0</v>
      </c>
      <c r="CL66" t="s">
        <v>477</v>
      </c>
      <c r="CM66">
        <v>0</v>
      </c>
      <c r="CN66">
        <v>0</v>
      </c>
      <c r="CQ66" t="s">
        <v>477</v>
      </c>
      <c r="CR66">
        <v>0</v>
      </c>
      <c r="CS66">
        <v>0</v>
      </c>
      <c r="CU66">
        <v>0</v>
      </c>
      <c r="CV66">
        <v>0</v>
      </c>
      <c r="CW66" t="s">
        <v>477</v>
      </c>
      <c r="CX66">
        <v>0</v>
      </c>
      <c r="CY66">
        <v>0</v>
      </c>
      <c r="CZ66">
        <v>0</v>
      </c>
      <c r="DA66" t="s">
        <v>477</v>
      </c>
      <c r="DB66">
        <v>0</v>
      </c>
      <c r="DC66">
        <v>0</v>
      </c>
      <c r="DN66">
        <v>0</v>
      </c>
      <c r="DO66">
        <v>0</v>
      </c>
    </row>
    <row r="67" spans="2:119">
      <c r="B67" t="s">
        <v>474</v>
      </c>
      <c r="C67">
        <v>3</v>
      </c>
      <c r="D67" t="s">
        <v>472</v>
      </c>
      <c r="E67">
        <v>3</v>
      </c>
      <c r="F67" t="s">
        <v>638</v>
      </c>
      <c r="G67">
        <v>54</v>
      </c>
      <c r="H67" t="s">
        <v>557</v>
      </c>
      <c r="I67">
        <v>0</v>
      </c>
      <c r="J67">
        <v>1</v>
      </c>
      <c r="K67" t="s">
        <v>478</v>
      </c>
      <c r="L67" t="s">
        <v>482</v>
      </c>
      <c r="Y67">
        <v>96</v>
      </c>
      <c r="Z67">
        <v>75</v>
      </c>
      <c r="AA67">
        <v>95.358000000000004</v>
      </c>
      <c r="AB67">
        <v>75</v>
      </c>
      <c r="AC67">
        <v>29</v>
      </c>
      <c r="AF67">
        <v>75</v>
      </c>
      <c r="AG67">
        <v>52</v>
      </c>
      <c r="AH67">
        <v>63.062869999999997</v>
      </c>
      <c r="AI67">
        <v>75</v>
      </c>
      <c r="AJ67">
        <v>780</v>
      </c>
      <c r="AK67">
        <v>13260</v>
      </c>
      <c r="AL67">
        <v>18963.82</v>
      </c>
      <c r="AM67">
        <v>5460</v>
      </c>
      <c r="AN67">
        <v>24423.82</v>
      </c>
      <c r="AR67">
        <v>5580.5770000000002</v>
      </c>
      <c r="AS67">
        <v>842.5376</v>
      </c>
      <c r="AT67">
        <v>348.51589999999999</v>
      </c>
      <c r="AU67" t="s">
        <v>476</v>
      </c>
      <c r="AV67">
        <v>0</v>
      </c>
      <c r="AW67">
        <v>0</v>
      </c>
      <c r="AX67">
        <v>0</v>
      </c>
      <c r="AY67">
        <v>1</v>
      </c>
      <c r="AZ67">
        <v>842.5376</v>
      </c>
      <c r="BA67">
        <v>0</v>
      </c>
      <c r="BB67">
        <v>0</v>
      </c>
      <c r="BE67">
        <v>780</v>
      </c>
      <c r="BF67">
        <v>1547.4179999999999</v>
      </c>
      <c r="BG67">
        <v>1894.4639999999999</v>
      </c>
      <c r="BH67">
        <v>383.1</v>
      </c>
      <c r="BI67">
        <v>1589.8820000000001</v>
      </c>
      <c r="BJ67">
        <v>2927.114</v>
      </c>
      <c r="BK67">
        <v>30</v>
      </c>
      <c r="BL67">
        <v>789.86249999999995</v>
      </c>
      <c r="BM67">
        <v>759</v>
      </c>
      <c r="BN67">
        <v>0</v>
      </c>
      <c r="BO67">
        <v>0</v>
      </c>
      <c r="BP67">
        <v>0</v>
      </c>
      <c r="BQ67">
        <v>0</v>
      </c>
      <c r="BR67">
        <v>0</v>
      </c>
      <c r="BS67">
        <v>1092</v>
      </c>
      <c r="BT67">
        <v>3912.3609999999999</v>
      </c>
      <c r="BU67">
        <v>1200</v>
      </c>
      <c r="BV67">
        <v>4299.2979999999998</v>
      </c>
      <c r="BW67">
        <v>0</v>
      </c>
      <c r="BX67">
        <v>0</v>
      </c>
      <c r="BY67">
        <v>26</v>
      </c>
      <c r="BZ67">
        <v>6825</v>
      </c>
      <c r="CA67">
        <v>5460</v>
      </c>
      <c r="CB67">
        <v>15036.66</v>
      </c>
      <c r="CC67">
        <v>5460</v>
      </c>
      <c r="CD67">
        <v>0</v>
      </c>
      <c r="CE67">
        <v>0</v>
      </c>
      <c r="CF67">
        <v>0</v>
      </c>
      <c r="CL67" t="s">
        <v>477</v>
      </c>
      <c r="CM67">
        <v>0</v>
      </c>
      <c r="CN67">
        <v>0</v>
      </c>
      <c r="CQ67" t="s">
        <v>477</v>
      </c>
      <c r="CR67">
        <v>0</v>
      </c>
      <c r="CS67">
        <v>0</v>
      </c>
      <c r="CU67">
        <v>0</v>
      </c>
      <c r="CV67">
        <v>0</v>
      </c>
      <c r="CW67" t="s">
        <v>477</v>
      </c>
      <c r="CX67">
        <v>0</v>
      </c>
      <c r="CY67">
        <v>0</v>
      </c>
      <c r="CZ67">
        <v>0</v>
      </c>
      <c r="DA67" t="s">
        <v>477</v>
      </c>
      <c r="DB67">
        <v>0</v>
      </c>
      <c r="DC67">
        <v>0</v>
      </c>
      <c r="DN67">
        <v>0</v>
      </c>
      <c r="DO67">
        <v>0</v>
      </c>
    </row>
    <row r="68" spans="2:119">
      <c r="B68" t="s">
        <v>474</v>
      </c>
      <c r="C68">
        <v>3</v>
      </c>
      <c r="D68" t="s">
        <v>472</v>
      </c>
      <c r="E68">
        <v>3</v>
      </c>
      <c r="F68" t="s">
        <v>638</v>
      </c>
      <c r="G68">
        <v>55</v>
      </c>
      <c r="H68" t="s">
        <v>558</v>
      </c>
      <c r="I68">
        <v>0</v>
      </c>
      <c r="J68">
        <v>1</v>
      </c>
      <c r="K68" t="s">
        <v>478</v>
      </c>
      <c r="L68" t="s">
        <v>542</v>
      </c>
      <c r="Y68">
        <v>96</v>
      </c>
      <c r="Z68">
        <v>75</v>
      </c>
      <c r="AA68">
        <v>84.016000000000005</v>
      </c>
      <c r="AB68">
        <v>72.218000000000004</v>
      </c>
      <c r="AC68">
        <v>29</v>
      </c>
      <c r="AF68">
        <v>75</v>
      </c>
      <c r="AG68">
        <v>52</v>
      </c>
      <c r="AH68">
        <v>63.062869999999997</v>
      </c>
      <c r="AI68">
        <v>75</v>
      </c>
      <c r="AJ68">
        <v>500</v>
      </c>
      <c r="AK68">
        <v>8500</v>
      </c>
      <c r="AL68">
        <v>20113.38</v>
      </c>
      <c r="AM68">
        <v>5460</v>
      </c>
      <c r="AN68">
        <v>25573.38</v>
      </c>
      <c r="AR68">
        <v>5514.9849999999997</v>
      </c>
      <c r="AS68">
        <v>893.61080000000004</v>
      </c>
      <c r="AT68">
        <v>344.4196</v>
      </c>
      <c r="AU68" t="s">
        <v>476</v>
      </c>
      <c r="AV68">
        <v>0</v>
      </c>
      <c r="AW68">
        <v>0</v>
      </c>
      <c r="AX68">
        <v>0</v>
      </c>
      <c r="AY68">
        <v>1</v>
      </c>
      <c r="AZ68">
        <v>893.61080000000004</v>
      </c>
      <c r="BA68">
        <v>0</v>
      </c>
      <c r="BB68">
        <v>0</v>
      </c>
      <c r="BE68">
        <v>500</v>
      </c>
      <c r="BF68">
        <v>324.13499999999999</v>
      </c>
      <c r="BG68">
        <v>1214.4000000000001</v>
      </c>
      <c r="BH68">
        <v>121.8</v>
      </c>
      <c r="BI68">
        <v>408.91860000000003</v>
      </c>
      <c r="BJ68">
        <v>930.62509999999997</v>
      </c>
      <c r="BK68">
        <v>133.19999999999999</v>
      </c>
      <c r="BL68">
        <v>5748.1059999999998</v>
      </c>
      <c r="BM68">
        <v>3369.96</v>
      </c>
      <c r="BN68">
        <v>0</v>
      </c>
      <c r="BO68">
        <v>0</v>
      </c>
      <c r="BP68">
        <v>0</v>
      </c>
      <c r="BQ68">
        <v>0</v>
      </c>
      <c r="BR68">
        <v>0</v>
      </c>
      <c r="BS68">
        <v>700</v>
      </c>
      <c r="BT68">
        <v>2507.924</v>
      </c>
      <c r="BU68">
        <v>1200</v>
      </c>
      <c r="BV68">
        <v>4299.2979999999998</v>
      </c>
      <c r="BW68">
        <v>0</v>
      </c>
      <c r="BX68">
        <v>0</v>
      </c>
      <c r="BY68">
        <v>26</v>
      </c>
      <c r="BZ68">
        <v>6825</v>
      </c>
      <c r="CA68">
        <v>5460</v>
      </c>
      <c r="CB68">
        <v>13632.22</v>
      </c>
      <c r="CC68">
        <v>5460</v>
      </c>
      <c r="CD68">
        <v>0</v>
      </c>
      <c r="CE68">
        <v>0</v>
      </c>
      <c r="CF68">
        <v>0</v>
      </c>
      <c r="CL68" t="s">
        <v>477</v>
      </c>
      <c r="CM68">
        <v>0</v>
      </c>
      <c r="CN68">
        <v>0</v>
      </c>
      <c r="CQ68" t="s">
        <v>477</v>
      </c>
      <c r="CR68">
        <v>0</v>
      </c>
      <c r="CS68">
        <v>0</v>
      </c>
      <c r="CU68">
        <v>0</v>
      </c>
      <c r="CV68">
        <v>0</v>
      </c>
      <c r="CW68" t="s">
        <v>477</v>
      </c>
      <c r="CX68">
        <v>0</v>
      </c>
      <c r="CY68">
        <v>0</v>
      </c>
      <c r="CZ68">
        <v>0</v>
      </c>
      <c r="DA68" t="s">
        <v>477</v>
      </c>
      <c r="DB68">
        <v>0</v>
      </c>
      <c r="DC68">
        <v>0</v>
      </c>
      <c r="DN68">
        <v>0</v>
      </c>
      <c r="DO68">
        <v>0</v>
      </c>
    </row>
    <row r="69" spans="2:119">
      <c r="B69" t="s">
        <v>474</v>
      </c>
      <c r="C69">
        <v>3</v>
      </c>
      <c r="D69" t="s">
        <v>472</v>
      </c>
      <c r="E69">
        <v>3</v>
      </c>
      <c r="F69" t="s">
        <v>638</v>
      </c>
      <c r="G69">
        <v>56</v>
      </c>
      <c r="H69" t="s">
        <v>559</v>
      </c>
      <c r="I69">
        <v>0</v>
      </c>
      <c r="J69">
        <v>1</v>
      </c>
      <c r="K69" t="s">
        <v>478</v>
      </c>
      <c r="L69" t="s">
        <v>482</v>
      </c>
      <c r="Y69">
        <v>96</v>
      </c>
      <c r="Z69">
        <v>75</v>
      </c>
      <c r="AA69">
        <v>95.358000000000004</v>
      </c>
      <c r="AB69">
        <v>75</v>
      </c>
      <c r="AC69">
        <v>29</v>
      </c>
      <c r="AF69">
        <v>75</v>
      </c>
      <c r="AG69">
        <v>52</v>
      </c>
      <c r="AH69">
        <v>63.062869999999997</v>
      </c>
      <c r="AI69">
        <v>75</v>
      </c>
      <c r="AJ69">
        <v>540</v>
      </c>
      <c r="AK69">
        <v>9180</v>
      </c>
      <c r="AL69">
        <v>5714.5309999999999</v>
      </c>
      <c r="AM69">
        <v>0</v>
      </c>
      <c r="AN69">
        <v>5714.5309999999999</v>
      </c>
      <c r="AR69">
        <v>1311.5519999999999</v>
      </c>
      <c r="AS69">
        <v>324</v>
      </c>
      <c r="AT69">
        <v>81.908519999999996</v>
      </c>
      <c r="AU69" t="s">
        <v>476</v>
      </c>
      <c r="AV69">
        <v>0</v>
      </c>
      <c r="AW69">
        <v>0</v>
      </c>
      <c r="AX69">
        <v>0</v>
      </c>
      <c r="AY69">
        <v>1</v>
      </c>
      <c r="AZ69">
        <v>324</v>
      </c>
      <c r="BA69">
        <v>0</v>
      </c>
      <c r="BB69">
        <v>0</v>
      </c>
      <c r="BE69">
        <v>540</v>
      </c>
      <c r="BF69">
        <v>1071.29</v>
      </c>
      <c r="BG69">
        <v>1311.5519999999999</v>
      </c>
      <c r="BH69">
        <v>0</v>
      </c>
      <c r="BI69">
        <v>0</v>
      </c>
      <c r="BJ69">
        <v>0</v>
      </c>
      <c r="BK69">
        <v>0</v>
      </c>
      <c r="BL69">
        <v>0</v>
      </c>
      <c r="BM69">
        <v>0</v>
      </c>
      <c r="BN69">
        <v>0</v>
      </c>
      <c r="BO69">
        <v>0</v>
      </c>
      <c r="BP69">
        <v>0</v>
      </c>
      <c r="BQ69">
        <v>0</v>
      </c>
      <c r="BR69">
        <v>0</v>
      </c>
      <c r="BS69">
        <v>756</v>
      </c>
      <c r="BT69">
        <v>2708.5569999999998</v>
      </c>
      <c r="BU69">
        <v>540</v>
      </c>
      <c r="BV69">
        <v>1934.684</v>
      </c>
      <c r="BW69">
        <v>0</v>
      </c>
      <c r="BX69">
        <v>0</v>
      </c>
      <c r="BY69">
        <v>0</v>
      </c>
      <c r="BZ69">
        <v>0</v>
      </c>
      <c r="CA69">
        <v>0</v>
      </c>
      <c r="CB69">
        <v>4643.241</v>
      </c>
      <c r="CC69">
        <v>0</v>
      </c>
      <c r="CD69">
        <v>0</v>
      </c>
      <c r="CE69">
        <v>0</v>
      </c>
      <c r="CF69">
        <v>0</v>
      </c>
      <c r="CL69" t="s">
        <v>477</v>
      </c>
      <c r="CM69">
        <v>0</v>
      </c>
      <c r="CN69">
        <v>0</v>
      </c>
      <c r="CQ69" t="s">
        <v>477</v>
      </c>
      <c r="CR69">
        <v>0</v>
      </c>
      <c r="CS69">
        <v>0</v>
      </c>
      <c r="CU69">
        <v>0</v>
      </c>
      <c r="CV69">
        <v>0</v>
      </c>
      <c r="CW69" t="s">
        <v>477</v>
      </c>
      <c r="CX69">
        <v>0</v>
      </c>
      <c r="CY69">
        <v>0</v>
      </c>
      <c r="CZ69">
        <v>0</v>
      </c>
      <c r="DA69" t="s">
        <v>477</v>
      </c>
      <c r="DB69">
        <v>0</v>
      </c>
      <c r="DC69">
        <v>0</v>
      </c>
      <c r="DN69">
        <v>0</v>
      </c>
      <c r="DO69">
        <v>0</v>
      </c>
    </row>
    <row r="70" spans="2:119">
      <c r="B70" t="s">
        <v>474</v>
      </c>
      <c r="C70">
        <v>3</v>
      </c>
      <c r="D70" t="s">
        <v>472</v>
      </c>
      <c r="E70">
        <v>3</v>
      </c>
      <c r="F70" t="s">
        <v>638</v>
      </c>
      <c r="G70">
        <v>57</v>
      </c>
      <c r="H70" t="s">
        <v>560</v>
      </c>
      <c r="I70">
        <v>0</v>
      </c>
      <c r="J70">
        <v>1</v>
      </c>
      <c r="K70" t="s">
        <v>478</v>
      </c>
      <c r="L70" t="s">
        <v>479</v>
      </c>
      <c r="Y70">
        <v>96</v>
      </c>
      <c r="Z70">
        <v>75</v>
      </c>
      <c r="AA70">
        <v>93.86</v>
      </c>
      <c r="AB70">
        <v>75</v>
      </c>
      <c r="AC70">
        <v>29</v>
      </c>
      <c r="AF70">
        <v>75</v>
      </c>
      <c r="AG70">
        <v>52</v>
      </c>
      <c r="AH70">
        <v>63.062869999999997</v>
      </c>
      <c r="AI70">
        <v>75</v>
      </c>
      <c r="AJ70">
        <v>780</v>
      </c>
      <c r="AK70">
        <v>13260</v>
      </c>
      <c r="AL70">
        <v>19440.72</v>
      </c>
      <c r="AM70">
        <v>5460</v>
      </c>
      <c r="AN70">
        <v>24900.720000000001</v>
      </c>
      <c r="AR70">
        <v>5645.5219999999999</v>
      </c>
      <c r="AS70">
        <v>863.72550000000001</v>
      </c>
      <c r="AT70">
        <v>352.57190000000003</v>
      </c>
      <c r="AU70" t="s">
        <v>476</v>
      </c>
      <c r="AV70">
        <v>0</v>
      </c>
      <c r="AW70">
        <v>0</v>
      </c>
      <c r="AX70">
        <v>0</v>
      </c>
      <c r="AY70">
        <v>1</v>
      </c>
      <c r="AZ70">
        <v>863.72550000000001</v>
      </c>
      <c r="BA70">
        <v>0</v>
      </c>
      <c r="BB70">
        <v>0</v>
      </c>
      <c r="BE70">
        <v>780</v>
      </c>
      <c r="BF70">
        <v>1508.107</v>
      </c>
      <c r="BG70">
        <v>1894.4639999999999</v>
      </c>
      <c r="BH70">
        <v>391.6</v>
      </c>
      <c r="BI70">
        <v>1314.7170000000001</v>
      </c>
      <c r="BJ70">
        <v>2992.0590000000002</v>
      </c>
      <c r="BK70">
        <v>30</v>
      </c>
      <c r="BL70">
        <v>1581.2370000000001</v>
      </c>
      <c r="BM70">
        <v>759</v>
      </c>
      <c r="BN70">
        <v>0</v>
      </c>
      <c r="BO70">
        <v>0</v>
      </c>
      <c r="BP70">
        <v>0</v>
      </c>
      <c r="BQ70">
        <v>0</v>
      </c>
      <c r="BR70">
        <v>0</v>
      </c>
      <c r="BS70">
        <v>1092</v>
      </c>
      <c r="BT70">
        <v>3912.3609999999999</v>
      </c>
      <c r="BU70">
        <v>1200</v>
      </c>
      <c r="BV70">
        <v>4299.2979999999998</v>
      </c>
      <c r="BW70">
        <v>0</v>
      </c>
      <c r="BX70">
        <v>0</v>
      </c>
      <c r="BY70">
        <v>26</v>
      </c>
      <c r="BZ70">
        <v>6825</v>
      </c>
      <c r="CA70">
        <v>5460</v>
      </c>
      <c r="CB70">
        <v>15036.66</v>
      </c>
      <c r="CC70">
        <v>5460</v>
      </c>
      <c r="CD70">
        <v>0</v>
      </c>
      <c r="CE70">
        <v>0</v>
      </c>
      <c r="CF70">
        <v>0</v>
      </c>
      <c r="CL70" t="s">
        <v>477</v>
      </c>
      <c r="CM70">
        <v>0</v>
      </c>
      <c r="CN70">
        <v>0</v>
      </c>
      <c r="CQ70" t="s">
        <v>477</v>
      </c>
      <c r="CR70">
        <v>0</v>
      </c>
      <c r="CS70">
        <v>0</v>
      </c>
      <c r="CU70">
        <v>0</v>
      </c>
      <c r="CV70">
        <v>0</v>
      </c>
      <c r="CW70" t="s">
        <v>477</v>
      </c>
      <c r="CX70">
        <v>0</v>
      </c>
      <c r="CY70">
        <v>0</v>
      </c>
      <c r="CZ70">
        <v>0</v>
      </c>
      <c r="DA70" t="s">
        <v>477</v>
      </c>
      <c r="DB70">
        <v>0</v>
      </c>
      <c r="DC70">
        <v>0</v>
      </c>
      <c r="DN70">
        <v>0</v>
      </c>
      <c r="DO70">
        <v>0</v>
      </c>
    </row>
    <row r="71" spans="2:119">
      <c r="B71" t="s">
        <v>474</v>
      </c>
      <c r="C71">
        <v>3</v>
      </c>
      <c r="D71" t="s">
        <v>472</v>
      </c>
      <c r="E71">
        <v>3</v>
      </c>
      <c r="F71" t="s">
        <v>638</v>
      </c>
      <c r="G71">
        <v>58</v>
      </c>
      <c r="H71" t="s">
        <v>561</v>
      </c>
      <c r="I71">
        <v>0</v>
      </c>
      <c r="J71">
        <v>1</v>
      </c>
      <c r="K71" t="s">
        <v>478</v>
      </c>
      <c r="L71" t="s">
        <v>479</v>
      </c>
      <c r="Y71">
        <v>96</v>
      </c>
      <c r="Z71">
        <v>75</v>
      </c>
      <c r="AA71">
        <v>93.86</v>
      </c>
      <c r="AB71">
        <v>75</v>
      </c>
      <c r="AC71">
        <v>29</v>
      </c>
      <c r="AF71">
        <v>75</v>
      </c>
      <c r="AG71">
        <v>52</v>
      </c>
      <c r="AH71">
        <v>63.062869999999997</v>
      </c>
      <c r="AI71">
        <v>75</v>
      </c>
      <c r="AJ71">
        <v>780</v>
      </c>
      <c r="AK71">
        <v>13260</v>
      </c>
      <c r="AL71">
        <v>20766.05</v>
      </c>
      <c r="AM71">
        <v>5460</v>
      </c>
      <c r="AN71">
        <v>26226.05</v>
      </c>
      <c r="AR71">
        <v>10256.629999999999</v>
      </c>
      <c r="AS71">
        <v>922.60829999999999</v>
      </c>
      <c r="AT71">
        <v>640.54259999999999</v>
      </c>
      <c r="AU71" t="s">
        <v>476</v>
      </c>
      <c r="AV71">
        <v>0</v>
      </c>
      <c r="AW71">
        <v>0</v>
      </c>
      <c r="AX71">
        <v>0</v>
      </c>
      <c r="AY71">
        <v>1</v>
      </c>
      <c r="AZ71">
        <v>922.60829999999999</v>
      </c>
      <c r="BA71">
        <v>0</v>
      </c>
      <c r="BB71">
        <v>0</v>
      </c>
      <c r="BE71">
        <v>780</v>
      </c>
      <c r="BF71">
        <v>1508.107</v>
      </c>
      <c r="BG71">
        <v>1894.4639999999999</v>
      </c>
      <c r="BH71">
        <v>995.1</v>
      </c>
      <c r="BI71">
        <v>2640.0540000000001</v>
      </c>
      <c r="BJ71">
        <v>7603.1610000000001</v>
      </c>
      <c r="BK71">
        <v>30</v>
      </c>
      <c r="BL71">
        <v>1581.2370000000001</v>
      </c>
      <c r="BM71">
        <v>759</v>
      </c>
      <c r="BN71">
        <v>0</v>
      </c>
      <c r="BO71">
        <v>0</v>
      </c>
      <c r="BP71">
        <v>0</v>
      </c>
      <c r="BQ71">
        <v>0</v>
      </c>
      <c r="BR71">
        <v>0</v>
      </c>
      <c r="BS71">
        <v>1092</v>
      </c>
      <c r="BT71">
        <v>3912.3609999999999</v>
      </c>
      <c r="BU71">
        <v>1200</v>
      </c>
      <c r="BV71">
        <v>4299.2979999999998</v>
      </c>
      <c r="BW71">
        <v>0</v>
      </c>
      <c r="BX71">
        <v>0</v>
      </c>
      <c r="BY71">
        <v>26</v>
      </c>
      <c r="BZ71">
        <v>6825</v>
      </c>
      <c r="CA71">
        <v>5460</v>
      </c>
      <c r="CB71">
        <v>15036.66</v>
      </c>
      <c r="CC71">
        <v>5460</v>
      </c>
      <c r="CD71">
        <v>0</v>
      </c>
      <c r="CE71">
        <v>0</v>
      </c>
      <c r="CF71">
        <v>0</v>
      </c>
      <c r="CL71" t="s">
        <v>477</v>
      </c>
      <c r="CM71">
        <v>0</v>
      </c>
      <c r="CN71">
        <v>0</v>
      </c>
      <c r="CQ71" t="s">
        <v>477</v>
      </c>
      <c r="CR71">
        <v>0</v>
      </c>
      <c r="CS71">
        <v>0</v>
      </c>
      <c r="CU71">
        <v>0</v>
      </c>
      <c r="CV71">
        <v>0</v>
      </c>
      <c r="CW71" t="s">
        <v>477</v>
      </c>
      <c r="CX71">
        <v>0</v>
      </c>
      <c r="CY71">
        <v>0</v>
      </c>
      <c r="CZ71">
        <v>0</v>
      </c>
      <c r="DA71" t="s">
        <v>477</v>
      </c>
      <c r="DB71">
        <v>0</v>
      </c>
      <c r="DC71">
        <v>0</v>
      </c>
      <c r="DN71">
        <v>0</v>
      </c>
      <c r="DO71">
        <v>0</v>
      </c>
    </row>
    <row r="72" spans="2:119">
      <c r="B72" t="s">
        <v>474</v>
      </c>
      <c r="C72">
        <v>3</v>
      </c>
      <c r="D72" t="s">
        <v>472</v>
      </c>
      <c r="E72">
        <v>3</v>
      </c>
      <c r="F72" t="s">
        <v>638</v>
      </c>
      <c r="G72">
        <v>59</v>
      </c>
      <c r="H72" t="s">
        <v>562</v>
      </c>
      <c r="I72">
        <v>0</v>
      </c>
      <c r="J72">
        <v>1</v>
      </c>
      <c r="K72" t="s">
        <v>478</v>
      </c>
      <c r="L72" t="s">
        <v>482</v>
      </c>
      <c r="Y72">
        <v>96</v>
      </c>
      <c r="Z72">
        <v>75</v>
      </c>
      <c r="AA72">
        <v>95.358000000000004</v>
      </c>
      <c r="AB72">
        <v>75</v>
      </c>
      <c r="AC72">
        <v>29</v>
      </c>
      <c r="AF72">
        <v>75</v>
      </c>
      <c r="AG72">
        <v>52</v>
      </c>
      <c r="AH72">
        <v>63.062869999999997</v>
      </c>
      <c r="AI72">
        <v>75</v>
      </c>
      <c r="AJ72">
        <v>370</v>
      </c>
      <c r="AK72">
        <v>6290</v>
      </c>
      <c r="AL72">
        <v>5347.0519999999997</v>
      </c>
      <c r="AM72">
        <v>0</v>
      </c>
      <c r="AN72">
        <v>5347.0519999999997</v>
      </c>
      <c r="AR72">
        <v>3209.2539999999999</v>
      </c>
      <c r="AS72">
        <v>237.5624</v>
      </c>
      <c r="AT72">
        <v>200.423</v>
      </c>
      <c r="AU72" t="s">
        <v>476</v>
      </c>
      <c r="AV72">
        <v>0</v>
      </c>
      <c r="AW72">
        <v>0</v>
      </c>
      <c r="AX72">
        <v>0</v>
      </c>
      <c r="AY72">
        <v>1</v>
      </c>
      <c r="AZ72">
        <v>237.5624</v>
      </c>
      <c r="BA72">
        <v>0</v>
      </c>
      <c r="BB72">
        <v>0</v>
      </c>
      <c r="BE72">
        <v>370</v>
      </c>
      <c r="BF72">
        <v>734.03189999999995</v>
      </c>
      <c r="BG72">
        <v>898.65610000000004</v>
      </c>
      <c r="BH72">
        <v>64</v>
      </c>
      <c r="BI72">
        <v>114.66330000000001</v>
      </c>
      <c r="BJ72">
        <v>488.9984</v>
      </c>
      <c r="BK72">
        <v>72</v>
      </c>
      <c r="BL72">
        <v>1316.876</v>
      </c>
      <c r="BM72">
        <v>1821.6</v>
      </c>
      <c r="BN72">
        <v>0</v>
      </c>
      <c r="BO72">
        <v>0</v>
      </c>
      <c r="BP72">
        <v>0</v>
      </c>
      <c r="BQ72">
        <v>0</v>
      </c>
      <c r="BR72">
        <v>0</v>
      </c>
      <c r="BS72">
        <v>518</v>
      </c>
      <c r="BT72">
        <v>1855.864</v>
      </c>
      <c r="BU72">
        <v>370</v>
      </c>
      <c r="BV72">
        <v>1325.617</v>
      </c>
      <c r="BW72">
        <v>0</v>
      </c>
      <c r="BX72">
        <v>0</v>
      </c>
      <c r="BY72">
        <v>0</v>
      </c>
      <c r="BZ72">
        <v>0</v>
      </c>
      <c r="CA72">
        <v>0</v>
      </c>
      <c r="CB72">
        <v>3181.48</v>
      </c>
      <c r="CC72">
        <v>0</v>
      </c>
      <c r="CD72">
        <v>0</v>
      </c>
      <c r="CE72">
        <v>0</v>
      </c>
      <c r="CF72">
        <v>0</v>
      </c>
      <c r="CL72" t="s">
        <v>477</v>
      </c>
      <c r="CM72">
        <v>0</v>
      </c>
      <c r="CN72">
        <v>0</v>
      </c>
      <c r="CQ72" t="s">
        <v>477</v>
      </c>
      <c r="CR72">
        <v>0</v>
      </c>
      <c r="CS72">
        <v>0</v>
      </c>
      <c r="CU72">
        <v>0</v>
      </c>
      <c r="CV72">
        <v>0</v>
      </c>
      <c r="CW72" t="s">
        <v>477</v>
      </c>
      <c r="CX72">
        <v>0</v>
      </c>
      <c r="CY72">
        <v>0</v>
      </c>
      <c r="CZ72">
        <v>0</v>
      </c>
      <c r="DA72" t="s">
        <v>477</v>
      </c>
      <c r="DB72">
        <v>0</v>
      </c>
      <c r="DC72">
        <v>0</v>
      </c>
      <c r="DN72">
        <v>0</v>
      </c>
      <c r="DO72">
        <v>0</v>
      </c>
    </row>
    <row r="73" spans="2:119">
      <c r="B73" t="s">
        <v>474</v>
      </c>
      <c r="C73">
        <v>3</v>
      </c>
      <c r="D73" t="s">
        <v>472</v>
      </c>
      <c r="E73">
        <v>3</v>
      </c>
      <c r="F73" t="s">
        <v>638</v>
      </c>
      <c r="G73">
        <v>60</v>
      </c>
      <c r="H73" t="s">
        <v>563</v>
      </c>
      <c r="I73">
        <v>0</v>
      </c>
      <c r="J73">
        <v>1</v>
      </c>
      <c r="K73" t="s">
        <v>478</v>
      </c>
      <c r="L73" t="s">
        <v>479</v>
      </c>
      <c r="Y73">
        <v>96</v>
      </c>
      <c r="Z73">
        <v>75</v>
      </c>
      <c r="AA73">
        <v>93.86</v>
      </c>
      <c r="AB73">
        <v>75</v>
      </c>
      <c r="AC73">
        <v>29</v>
      </c>
      <c r="AF73">
        <v>75</v>
      </c>
      <c r="AG73">
        <v>52</v>
      </c>
      <c r="AH73">
        <v>63.062869999999997</v>
      </c>
      <c r="AI73">
        <v>75</v>
      </c>
      <c r="AJ73">
        <v>775</v>
      </c>
      <c r="AK73">
        <v>13175</v>
      </c>
      <c r="AL73">
        <v>20727.810000000001</v>
      </c>
      <c r="AM73">
        <v>5460</v>
      </c>
      <c r="AN73">
        <v>26187.81</v>
      </c>
      <c r="AR73">
        <v>11543.38</v>
      </c>
      <c r="AS73">
        <v>920.90909999999997</v>
      </c>
      <c r="AT73">
        <v>720.90260000000001</v>
      </c>
      <c r="AU73" t="s">
        <v>476</v>
      </c>
      <c r="AV73">
        <v>0</v>
      </c>
      <c r="AW73">
        <v>0</v>
      </c>
      <c r="AX73">
        <v>0</v>
      </c>
      <c r="AY73">
        <v>1</v>
      </c>
      <c r="AZ73">
        <v>920.90909999999997</v>
      </c>
      <c r="BA73">
        <v>0</v>
      </c>
      <c r="BB73">
        <v>0</v>
      </c>
      <c r="BE73">
        <v>775</v>
      </c>
      <c r="BF73">
        <v>1498.4390000000001</v>
      </c>
      <c r="BG73">
        <v>1882.32</v>
      </c>
      <c r="BH73">
        <v>1165.0999999999999</v>
      </c>
      <c r="BI73">
        <v>3505.7649999999999</v>
      </c>
      <c r="BJ73">
        <v>8902.0630000000001</v>
      </c>
      <c r="BK73">
        <v>30</v>
      </c>
      <c r="BL73">
        <v>712.02589999999998</v>
      </c>
      <c r="BM73">
        <v>759</v>
      </c>
      <c r="BN73">
        <v>0</v>
      </c>
      <c r="BO73">
        <v>0</v>
      </c>
      <c r="BP73">
        <v>0</v>
      </c>
      <c r="BQ73">
        <v>0</v>
      </c>
      <c r="BR73">
        <v>0</v>
      </c>
      <c r="BS73">
        <v>1085</v>
      </c>
      <c r="BT73">
        <v>3887.2809999999999</v>
      </c>
      <c r="BU73">
        <v>1200</v>
      </c>
      <c r="BV73">
        <v>4299.2979999999998</v>
      </c>
      <c r="BW73">
        <v>0</v>
      </c>
      <c r="BX73">
        <v>0</v>
      </c>
      <c r="BY73">
        <v>26</v>
      </c>
      <c r="BZ73">
        <v>6825</v>
      </c>
      <c r="CA73">
        <v>5460</v>
      </c>
      <c r="CB73">
        <v>15011.58</v>
      </c>
      <c r="CC73">
        <v>5460</v>
      </c>
      <c r="CD73">
        <v>0</v>
      </c>
      <c r="CE73">
        <v>0</v>
      </c>
      <c r="CF73">
        <v>0</v>
      </c>
      <c r="CL73" t="s">
        <v>477</v>
      </c>
      <c r="CM73">
        <v>0</v>
      </c>
      <c r="CN73">
        <v>0</v>
      </c>
      <c r="CQ73" t="s">
        <v>477</v>
      </c>
      <c r="CR73">
        <v>0</v>
      </c>
      <c r="CS73">
        <v>0</v>
      </c>
      <c r="CU73">
        <v>0</v>
      </c>
      <c r="CV73">
        <v>0</v>
      </c>
      <c r="CW73" t="s">
        <v>477</v>
      </c>
      <c r="CX73">
        <v>0</v>
      </c>
      <c r="CY73">
        <v>0</v>
      </c>
      <c r="CZ73">
        <v>0</v>
      </c>
      <c r="DA73" t="s">
        <v>477</v>
      </c>
      <c r="DB73">
        <v>0</v>
      </c>
      <c r="DC73">
        <v>0</v>
      </c>
      <c r="DN73">
        <v>0</v>
      </c>
      <c r="DO73">
        <v>0</v>
      </c>
    </row>
    <row r="74" spans="2:119">
      <c r="B74" t="s">
        <v>474</v>
      </c>
      <c r="C74">
        <v>3</v>
      </c>
      <c r="D74" t="s">
        <v>472</v>
      </c>
      <c r="E74">
        <v>3</v>
      </c>
      <c r="F74" t="s">
        <v>638</v>
      </c>
      <c r="G74">
        <v>61</v>
      </c>
      <c r="H74" t="s">
        <v>565</v>
      </c>
      <c r="I74">
        <v>0</v>
      </c>
      <c r="J74">
        <v>1</v>
      </c>
      <c r="K74" t="s">
        <v>478</v>
      </c>
      <c r="L74" t="s">
        <v>482</v>
      </c>
      <c r="Y74">
        <v>96</v>
      </c>
      <c r="Z74">
        <v>75</v>
      </c>
      <c r="AA74">
        <v>95.358000000000004</v>
      </c>
      <c r="AB74">
        <v>75</v>
      </c>
      <c r="AC74">
        <v>29</v>
      </c>
      <c r="AF74">
        <v>75</v>
      </c>
      <c r="AG74">
        <v>52</v>
      </c>
      <c r="AH74">
        <v>63.062869999999997</v>
      </c>
      <c r="AI74">
        <v>75</v>
      </c>
      <c r="AJ74">
        <v>40</v>
      </c>
      <c r="AK74">
        <v>680</v>
      </c>
      <c r="AL74">
        <v>614.14369999999997</v>
      </c>
      <c r="AM74">
        <v>210</v>
      </c>
      <c r="AN74">
        <v>824.14369999999997</v>
      </c>
      <c r="AR74">
        <v>97.152000000000001</v>
      </c>
      <c r="AS74">
        <v>50</v>
      </c>
      <c r="AT74">
        <v>6.0672969999999999</v>
      </c>
      <c r="AU74" t="s">
        <v>476</v>
      </c>
      <c r="AV74">
        <v>0</v>
      </c>
      <c r="AW74">
        <v>0</v>
      </c>
      <c r="AX74">
        <v>0</v>
      </c>
      <c r="AY74">
        <v>1</v>
      </c>
      <c r="AZ74">
        <v>50</v>
      </c>
      <c r="BA74">
        <v>0</v>
      </c>
      <c r="BB74">
        <v>0</v>
      </c>
      <c r="BE74">
        <v>40</v>
      </c>
      <c r="BF74">
        <v>79.354789999999994</v>
      </c>
      <c r="BG74">
        <v>97.152000000000001</v>
      </c>
      <c r="BH74">
        <v>0</v>
      </c>
      <c r="BI74">
        <v>0</v>
      </c>
      <c r="BJ74">
        <v>0</v>
      </c>
      <c r="BK74">
        <v>0</v>
      </c>
      <c r="BL74">
        <v>0</v>
      </c>
      <c r="BM74">
        <v>0</v>
      </c>
      <c r="BN74">
        <v>0</v>
      </c>
      <c r="BO74">
        <v>0</v>
      </c>
      <c r="BP74">
        <v>0</v>
      </c>
      <c r="BQ74">
        <v>0</v>
      </c>
      <c r="BR74">
        <v>0</v>
      </c>
      <c r="BS74">
        <v>36</v>
      </c>
      <c r="BT74">
        <v>128.97890000000001</v>
      </c>
      <c r="BU74">
        <v>40</v>
      </c>
      <c r="BV74">
        <v>143.3099</v>
      </c>
      <c r="BW74">
        <v>0</v>
      </c>
      <c r="BX74">
        <v>0</v>
      </c>
      <c r="BY74">
        <v>1</v>
      </c>
      <c r="BZ74">
        <v>262.5</v>
      </c>
      <c r="CA74">
        <v>210</v>
      </c>
      <c r="CB74">
        <v>534.78880000000004</v>
      </c>
      <c r="CC74">
        <v>210</v>
      </c>
      <c r="CD74">
        <v>0</v>
      </c>
      <c r="CE74">
        <v>0</v>
      </c>
      <c r="CF74">
        <v>0</v>
      </c>
      <c r="CL74" t="s">
        <v>477</v>
      </c>
      <c r="CM74">
        <v>0</v>
      </c>
      <c r="CN74">
        <v>0</v>
      </c>
      <c r="CQ74" t="s">
        <v>477</v>
      </c>
      <c r="CR74">
        <v>0</v>
      </c>
      <c r="CS74">
        <v>0</v>
      </c>
      <c r="CU74">
        <v>0</v>
      </c>
      <c r="CV74">
        <v>0</v>
      </c>
      <c r="CW74" t="s">
        <v>477</v>
      </c>
      <c r="CX74">
        <v>0</v>
      </c>
      <c r="CY74">
        <v>0</v>
      </c>
      <c r="CZ74">
        <v>0</v>
      </c>
      <c r="DA74" t="s">
        <v>477</v>
      </c>
      <c r="DB74">
        <v>0</v>
      </c>
      <c r="DC74">
        <v>0</v>
      </c>
      <c r="DN74">
        <v>0</v>
      </c>
      <c r="DO74">
        <v>0</v>
      </c>
    </row>
    <row r="75" spans="2:119">
      <c r="B75" t="s">
        <v>474</v>
      </c>
      <c r="C75">
        <v>3</v>
      </c>
      <c r="D75" t="s">
        <v>472</v>
      </c>
      <c r="E75">
        <v>3</v>
      </c>
      <c r="F75" t="s">
        <v>638</v>
      </c>
      <c r="G75">
        <v>62</v>
      </c>
      <c r="H75" t="s">
        <v>566</v>
      </c>
      <c r="I75">
        <v>0</v>
      </c>
      <c r="J75">
        <v>1</v>
      </c>
      <c r="K75" t="s">
        <v>478</v>
      </c>
      <c r="L75" t="s">
        <v>482</v>
      </c>
      <c r="Y75">
        <v>96</v>
      </c>
      <c r="Z75">
        <v>75</v>
      </c>
      <c r="AA75">
        <v>95.358000000000004</v>
      </c>
      <c r="AB75">
        <v>75</v>
      </c>
      <c r="AC75">
        <v>29</v>
      </c>
      <c r="AF75">
        <v>75</v>
      </c>
      <c r="AG75">
        <v>52</v>
      </c>
      <c r="AH75">
        <v>63.062869999999997</v>
      </c>
      <c r="AI75">
        <v>75</v>
      </c>
      <c r="AJ75">
        <v>815</v>
      </c>
      <c r="AK75">
        <v>13855</v>
      </c>
      <c r="AL75">
        <v>17881.39</v>
      </c>
      <c r="AM75">
        <v>5460</v>
      </c>
      <c r="AN75">
        <v>23341.39</v>
      </c>
      <c r="AR75">
        <v>4886.2449999999999</v>
      </c>
      <c r="AS75">
        <v>794.44640000000004</v>
      </c>
      <c r="AT75">
        <v>305.15379999999999</v>
      </c>
      <c r="AU75" t="s">
        <v>476</v>
      </c>
      <c r="AV75">
        <v>0</v>
      </c>
      <c r="AW75">
        <v>0</v>
      </c>
      <c r="AX75">
        <v>0</v>
      </c>
      <c r="AY75">
        <v>1</v>
      </c>
      <c r="AZ75">
        <v>794.44640000000004</v>
      </c>
      <c r="BA75">
        <v>0</v>
      </c>
      <c r="BB75">
        <v>0</v>
      </c>
      <c r="BE75">
        <v>815</v>
      </c>
      <c r="BF75">
        <v>1616.854</v>
      </c>
      <c r="BG75">
        <v>1979.472</v>
      </c>
      <c r="BH75">
        <v>281.10000000000002</v>
      </c>
      <c r="BI75">
        <v>503.62290000000002</v>
      </c>
      <c r="BJ75">
        <v>2147.7719999999999</v>
      </c>
      <c r="BK75">
        <v>30</v>
      </c>
      <c r="BL75">
        <v>548.69849999999997</v>
      </c>
      <c r="BM75">
        <v>759</v>
      </c>
      <c r="BN75">
        <v>0</v>
      </c>
      <c r="BO75">
        <v>0</v>
      </c>
      <c r="BP75">
        <v>0</v>
      </c>
      <c r="BQ75">
        <v>0</v>
      </c>
      <c r="BR75">
        <v>0</v>
      </c>
      <c r="BS75">
        <v>1141</v>
      </c>
      <c r="BT75">
        <v>4087.915</v>
      </c>
      <c r="BU75">
        <v>1200</v>
      </c>
      <c r="BV75">
        <v>4299.2979999999998</v>
      </c>
      <c r="BW75">
        <v>0</v>
      </c>
      <c r="BX75">
        <v>0</v>
      </c>
      <c r="BY75">
        <v>26</v>
      </c>
      <c r="BZ75">
        <v>6825</v>
      </c>
      <c r="CA75">
        <v>5460</v>
      </c>
      <c r="CB75">
        <v>15212.21</v>
      </c>
      <c r="CC75">
        <v>5460</v>
      </c>
      <c r="CD75">
        <v>0</v>
      </c>
      <c r="CE75">
        <v>0</v>
      </c>
      <c r="CF75">
        <v>0</v>
      </c>
      <c r="CL75" t="s">
        <v>477</v>
      </c>
      <c r="CM75">
        <v>0</v>
      </c>
      <c r="CN75">
        <v>0</v>
      </c>
      <c r="CQ75" t="s">
        <v>477</v>
      </c>
      <c r="CR75">
        <v>0</v>
      </c>
      <c r="CS75">
        <v>0</v>
      </c>
      <c r="CU75">
        <v>0</v>
      </c>
      <c r="CV75">
        <v>0</v>
      </c>
      <c r="CW75" t="s">
        <v>477</v>
      </c>
      <c r="CX75">
        <v>0</v>
      </c>
      <c r="CY75">
        <v>0</v>
      </c>
      <c r="CZ75">
        <v>0</v>
      </c>
      <c r="DA75" t="s">
        <v>477</v>
      </c>
      <c r="DB75">
        <v>0</v>
      </c>
      <c r="DC75">
        <v>0</v>
      </c>
      <c r="DN75">
        <v>0</v>
      </c>
      <c r="DO75">
        <v>0</v>
      </c>
    </row>
    <row r="76" spans="2:119">
      <c r="B76" t="s">
        <v>474</v>
      </c>
      <c r="C76">
        <v>3</v>
      </c>
      <c r="D76" t="s">
        <v>472</v>
      </c>
      <c r="E76">
        <v>3</v>
      </c>
      <c r="F76" t="s">
        <v>638</v>
      </c>
      <c r="G76">
        <v>63</v>
      </c>
      <c r="H76" t="s">
        <v>567</v>
      </c>
      <c r="I76">
        <v>0</v>
      </c>
      <c r="J76">
        <v>1</v>
      </c>
      <c r="K76" t="s">
        <v>478</v>
      </c>
      <c r="L76" t="s">
        <v>482</v>
      </c>
      <c r="Y76">
        <v>96</v>
      </c>
      <c r="Z76">
        <v>75</v>
      </c>
      <c r="AA76">
        <v>95.358000000000004</v>
      </c>
      <c r="AB76">
        <v>75</v>
      </c>
      <c r="AC76">
        <v>29</v>
      </c>
      <c r="AF76">
        <v>75</v>
      </c>
      <c r="AG76">
        <v>52</v>
      </c>
      <c r="AH76">
        <v>63.062869999999997</v>
      </c>
      <c r="AI76">
        <v>75</v>
      </c>
      <c r="AJ76">
        <v>450</v>
      </c>
      <c r="AK76">
        <v>7650</v>
      </c>
      <c r="AL76">
        <v>3311.096</v>
      </c>
      <c r="AM76">
        <v>0</v>
      </c>
      <c r="AN76">
        <v>3311.096</v>
      </c>
      <c r="AR76">
        <v>1092.96</v>
      </c>
      <c r="AS76">
        <v>270</v>
      </c>
      <c r="AT76">
        <v>68.257099999999994</v>
      </c>
      <c r="AU76" t="s">
        <v>476</v>
      </c>
      <c r="AV76">
        <v>0</v>
      </c>
      <c r="AW76">
        <v>0</v>
      </c>
      <c r="AX76">
        <v>0</v>
      </c>
      <c r="AY76">
        <v>1</v>
      </c>
      <c r="AZ76">
        <v>270</v>
      </c>
      <c r="BA76">
        <v>0</v>
      </c>
      <c r="BB76">
        <v>0</v>
      </c>
      <c r="BE76">
        <v>450</v>
      </c>
      <c r="BF76">
        <v>892.74149999999997</v>
      </c>
      <c r="BG76">
        <v>1092.96</v>
      </c>
      <c r="BH76">
        <v>0</v>
      </c>
      <c r="BI76">
        <v>0</v>
      </c>
      <c r="BJ76">
        <v>0</v>
      </c>
      <c r="BK76">
        <v>0</v>
      </c>
      <c r="BL76">
        <v>0</v>
      </c>
      <c r="BM76">
        <v>0</v>
      </c>
      <c r="BN76">
        <v>0</v>
      </c>
      <c r="BO76">
        <v>0</v>
      </c>
      <c r="BP76">
        <v>0</v>
      </c>
      <c r="BQ76">
        <v>0</v>
      </c>
      <c r="BR76">
        <v>0</v>
      </c>
      <c r="BS76">
        <v>225</v>
      </c>
      <c r="BT76">
        <v>806.11829999999998</v>
      </c>
      <c r="BU76">
        <v>450</v>
      </c>
      <c r="BV76">
        <v>1612.2370000000001</v>
      </c>
      <c r="BW76">
        <v>0</v>
      </c>
      <c r="BX76">
        <v>0</v>
      </c>
      <c r="BY76">
        <v>0</v>
      </c>
      <c r="BZ76">
        <v>0</v>
      </c>
      <c r="CA76">
        <v>0</v>
      </c>
      <c r="CB76">
        <v>2418.355</v>
      </c>
      <c r="CC76">
        <v>0</v>
      </c>
      <c r="CD76">
        <v>0</v>
      </c>
      <c r="CE76">
        <v>0</v>
      </c>
      <c r="CF76">
        <v>0</v>
      </c>
      <c r="CL76" t="s">
        <v>477</v>
      </c>
      <c r="CM76">
        <v>0</v>
      </c>
      <c r="CN76">
        <v>0</v>
      </c>
      <c r="CQ76" t="s">
        <v>477</v>
      </c>
      <c r="CR76">
        <v>0</v>
      </c>
      <c r="CS76">
        <v>0</v>
      </c>
      <c r="CU76">
        <v>0</v>
      </c>
      <c r="CV76">
        <v>0</v>
      </c>
      <c r="CW76" t="s">
        <v>477</v>
      </c>
      <c r="CX76">
        <v>0</v>
      </c>
      <c r="CY76">
        <v>0</v>
      </c>
      <c r="CZ76">
        <v>0</v>
      </c>
      <c r="DA76" t="s">
        <v>477</v>
      </c>
      <c r="DB76">
        <v>0</v>
      </c>
      <c r="DC76">
        <v>0</v>
      </c>
      <c r="DN76">
        <v>0</v>
      </c>
      <c r="DO76">
        <v>0</v>
      </c>
    </row>
    <row r="77" spans="2:119">
      <c r="B77" t="s">
        <v>474</v>
      </c>
      <c r="C77">
        <v>3</v>
      </c>
      <c r="D77" t="s">
        <v>472</v>
      </c>
      <c r="E77">
        <v>3</v>
      </c>
      <c r="F77" t="s">
        <v>638</v>
      </c>
      <c r="G77">
        <v>64</v>
      </c>
      <c r="H77" t="s">
        <v>568</v>
      </c>
      <c r="I77">
        <v>0</v>
      </c>
      <c r="J77">
        <v>1</v>
      </c>
      <c r="K77" t="s">
        <v>478</v>
      </c>
      <c r="L77" t="s">
        <v>479</v>
      </c>
      <c r="Y77">
        <v>96</v>
      </c>
      <c r="Z77">
        <v>75</v>
      </c>
      <c r="AA77">
        <v>93.86</v>
      </c>
      <c r="AB77">
        <v>75</v>
      </c>
      <c r="AC77">
        <v>29</v>
      </c>
      <c r="AF77">
        <v>75</v>
      </c>
      <c r="AG77">
        <v>52</v>
      </c>
      <c r="AH77">
        <v>63.062869999999997</v>
      </c>
      <c r="AI77">
        <v>75</v>
      </c>
      <c r="AJ77">
        <v>320</v>
      </c>
      <c r="AK77">
        <v>5440</v>
      </c>
      <c r="AL77">
        <v>6607.8969999999999</v>
      </c>
      <c r="AM77">
        <v>2100</v>
      </c>
      <c r="AN77">
        <v>8707.8970000000008</v>
      </c>
      <c r="AR77">
        <v>2517.7449999999999</v>
      </c>
      <c r="AS77">
        <v>293.58010000000002</v>
      </c>
      <c r="AT77">
        <v>157.2372</v>
      </c>
      <c r="AU77" t="s">
        <v>476</v>
      </c>
      <c r="AV77">
        <v>0</v>
      </c>
      <c r="AW77">
        <v>0</v>
      </c>
      <c r="AX77">
        <v>0</v>
      </c>
      <c r="AY77">
        <v>1</v>
      </c>
      <c r="AZ77">
        <v>293.58010000000002</v>
      </c>
      <c r="BA77">
        <v>0</v>
      </c>
      <c r="BB77">
        <v>0</v>
      </c>
      <c r="BE77">
        <v>320</v>
      </c>
      <c r="BF77">
        <v>618.71029999999996</v>
      </c>
      <c r="BG77">
        <v>777.21600000000001</v>
      </c>
      <c r="BH77">
        <v>227.8</v>
      </c>
      <c r="BI77">
        <v>444.2475</v>
      </c>
      <c r="BJ77">
        <v>1740.528</v>
      </c>
      <c r="BK77">
        <v>0</v>
      </c>
      <c r="BL77">
        <v>0</v>
      </c>
      <c r="BM77">
        <v>0</v>
      </c>
      <c r="BN77">
        <v>0</v>
      </c>
      <c r="BO77">
        <v>0</v>
      </c>
      <c r="BP77">
        <v>0</v>
      </c>
      <c r="BQ77">
        <v>0</v>
      </c>
      <c r="BR77">
        <v>0</v>
      </c>
      <c r="BS77">
        <v>448</v>
      </c>
      <c r="BT77">
        <v>1605.0709999999999</v>
      </c>
      <c r="BU77">
        <v>367</v>
      </c>
      <c r="BV77">
        <v>1314.8679999999999</v>
      </c>
      <c r="BW77">
        <v>0</v>
      </c>
      <c r="BX77">
        <v>0</v>
      </c>
      <c r="BY77">
        <v>10</v>
      </c>
      <c r="BZ77">
        <v>2625</v>
      </c>
      <c r="CA77">
        <v>2100</v>
      </c>
      <c r="CB77">
        <v>5544.9390000000003</v>
      </c>
      <c r="CC77">
        <v>2100</v>
      </c>
      <c r="CD77">
        <v>0</v>
      </c>
      <c r="CE77">
        <v>0</v>
      </c>
      <c r="CF77">
        <v>0</v>
      </c>
      <c r="CL77" t="s">
        <v>477</v>
      </c>
      <c r="CM77">
        <v>0</v>
      </c>
      <c r="CN77">
        <v>0</v>
      </c>
      <c r="CQ77" t="s">
        <v>477</v>
      </c>
      <c r="CR77">
        <v>0</v>
      </c>
      <c r="CS77">
        <v>0</v>
      </c>
      <c r="CU77">
        <v>0</v>
      </c>
      <c r="CV77">
        <v>0</v>
      </c>
      <c r="CW77" t="s">
        <v>477</v>
      </c>
      <c r="CX77">
        <v>0</v>
      </c>
      <c r="CY77">
        <v>0</v>
      </c>
      <c r="CZ77">
        <v>0</v>
      </c>
      <c r="DA77" t="s">
        <v>477</v>
      </c>
      <c r="DB77">
        <v>0</v>
      </c>
      <c r="DC77">
        <v>0</v>
      </c>
      <c r="DN77">
        <v>0</v>
      </c>
      <c r="DO77">
        <v>0</v>
      </c>
    </row>
    <row r="78" spans="2:119">
      <c r="B78" t="s">
        <v>474</v>
      </c>
      <c r="C78">
        <v>3</v>
      </c>
      <c r="D78" t="s">
        <v>472</v>
      </c>
      <c r="E78">
        <v>3</v>
      </c>
      <c r="F78" t="s">
        <v>638</v>
      </c>
      <c r="G78">
        <v>65</v>
      </c>
      <c r="H78" t="s">
        <v>569</v>
      </c>
      <c r="I78">
        <v>0</v>
      </c>
      <c r="J78">
        <v>1</v>
      </c>
      <c r="K78" t="s">
        <v>478</v>
      </c>
      <c r="L78" t="s">
        <v>479</v>
      </c>
      <c r="Y78">
        <v>96</v>
      </c>
      <c r="Z78">
        <v>75</v>
      </c>
      <c r="AA78">
        <v>93.86</v>
      </c>
      <c r="AB78">
        <v>75</v>
      </c>
      <c r="AC78">
        <v>29</v>
      </c>
      <c r="AF78">
        <v>75</v>
      </c>
      <c r="AG78">
        <v>52</v>
      </c>
      <c r="AH78">
        <v>63.062869999999997</v>
      </c>
      <c r="AI78">
        <v>75</v>
      </c>
      <c r="AJ78">
        <v>870</v>
      </c>
      <c r="AK78">
        <v>14790</v>
      </c>
      <c r="AL78">
        <v>17786.84</v>
      </c>
      <c r="AM78">
        <v>5460</v>
      </c>
      <c r="AN78">
        <v>23246.84</v>
      </c>
      <c r="AR78">
        <v>4529.0140000000001</v>
      </c>
      <c r="AS78">
        <v>790.24590000000001</v>
      </c>
      <c r="AT78">
        <v>282.84410000000003</v>
      </c>
      <c r="AU78" t="s">
        <v>476</v>
      </c>
      <c r="AV78">
        <v>0</v>
      </c>
      <c r="AW78">
        <v>0</v>
      </c>
      <c r="AX78">
        <v>0</v>
      </c>
      <c r="AY78">
        <v>1</v>
      </c>
      <c r="AZ78">
        <v>790.24590000000001</v>
      </c>
      <c r="BA78">
        <v>0</v>
      </c>
      <c r="BB78">
        <v>0</v>
      </c>
      <c r="BE78">
        <v>870</v>
      </c>
      <c r="BF78">
        <v>1682.1189999999999</v>
      </c>
      <c r="BG78">
        <v>2113.056</v>
      </c>
      <c r="BH78">
        <v>316.2</v>
      </c>
      <c r="BI78">
        <v>616.6422</v>
      </c>
      <c r="BJ78">
        <v>2415.9580000000001</v>
      </c>
      <c r="BK78">
        <v>0</v>
      </c>
      <c r="BL78">
        <v>0</v>
      </c>
      <c r="BM78">
        <v>0</v>
      </c>
      <c r="BN78">
        <v>0</v>
      </c>
      <c r="BO78">
        <v>0</v>
      </c>
      <c r="BP78">
        <v>0</v>
      </c>
      <c r="BQ78">
        <v>0</v>
      </c>
      <c r="BR78">
        <v>0</v>
      </c>
      <c r="BS78">
        <v>1218</v>
      </c>
      <c r="BT78">
        <v>4363.7870000000003</v>
      </c>
      <c r="BU78">
        <v>1200</v>
      </c>
      <c r="BV78">
        <v>4299.2979999999998</v>
      </c>
      <c r="BW78">
        <v>0</v>
      </c>
      <c r="BX78">
        <v>0</v>
      </c>
      <c r="BY78">
        <v>26</v>
      </c>
      <c r="BZ78">
        <v>6825</v>
      </c>
      <c r="CA78">
        <v>5460</v>
      </c>
      <c r="CB78">
        <v>15488.08</v>
      </c>
      <c r="CC78">
        <v>5460</v>
      </c>
      <c r="CD78">
        <v>0</v>
      </c>
      <c r="CE78">
        <v>0</v>
      </c>
      <c r="CF78">
        <v>0</v>
      </c>
      <c r="CL78" t="s">
        <v>477</v>
      </c>
      <c r="CM78">
        <v>0</v>
      </c>
      <c r="CN78">
        <v>0</v>
      </c>
      <c r="CQ78" t="s">
        <v>477</v>
      </c>
      <c r="CR78">
        <v>0</v>
      </c>
      <c r="CS78">
        <v>0</v>
      </c>
      <c r="CU78">
        <v>0</v>
      </c>
      <c r="CV78">
        <v>0</v>
      </c>
      <c r="CW78" t="s">
        <v>477</v>
      </c>
      <c r="CX78">
        <v>0</v>
      </c>
      <c r="CY78">
        <v>0</v>
      </c>
      <c r="CZ78">
        <v>0</v>
      </c>
      <c r="DA78" t="s">
        <v>477</v>
      </c>
      <c r="DB78">
        <v>0</v>
      </c>
      <c r="DC78">
        <v>0</v>
      </c>
      <c r="DN78">
        <v>0</v>
      </c>
      <c r="DO78">
        <v>0</v>
      </c>
    </row>
    <row r="79" spans="2:119">
      <c r="B79" t="s">
        <v>474</v>
      </c>
      <c r="C79">
        <v>3</v>
      </c>
      <c r="D79" t="s">
        <v>472</v>
      </c>
      <c r="E79">
        <v>3</v>
      </c>
      <c r="F79" t="s">
        <v>638</v>
      </c>
      <c r="G79">
        <v>66</v>
      </c>
      <c r="H79" t="s">
        <v>570</v>
      </c>
      <c r="I79">
        <v>0</v>
      </c>
      <c r="J79">
        <v>1</v>
      </c>
      <c r="K79" t="s">
        <v>478</v>
      </c>
      <c r="L79" t="s">
        <v>479</v>
      </c>
      <c r="Y79">
        <v>96</v>
      </c>
      <c r="Z79">
        <v>75</v>
      </c>
      <c r="AA79">
        <v>93.86</v>
      </c>
      <c r="AB79">
        <v>75</v>
      </c>
      <c r="AC79">
        <v>29</v>
      </c>
      <c r="AF79">
        <v>75</v>
      </c>
      <c r="AG79">
        <v>52</v>
      </c>
      <c r="AH79">
        <v>63.062869999999997</v>
      </c>
      <c r="AI79">
        <v>75</v>
      </c>
      <c r="AJ79">
        <v>410</v>
      </c>
      <c r="AK79">
        <v>6970</v>
      </c>
      <c r="AL79">
        <v>7005.9480000000003</v>
      </c>
      <c r="AM79">
        <v>0</v>
      </c>
      <c r="AN79">
        <v>7005.9480000000003</v>
      </c>
      <c r="AR79">
        <v>3306.4059999999999</v>
      </c>
      <c r="AS79">
        <v>311.26499999999999</v>
      </c>
      <c r="AT79">
        <v>206.49039999999999</v>
      </c>
      <c r="AU79" t="s">
        <v>476</v>
      </c>
      <c r="AV79">
        <v>0</v>
      </c>
      <c r="AW79">
        <v>0</v>
      </c>
      <c r="AX79">
        <v>0</v>
      </c>
      <c r="AY79">
        <v>1</v>
      </c>
      <c r="AZ79">
        <v>311.26499999999999</v>
      </c>
      <c r="BA79">
        <v>0</v>
      </c>
      <c r="BB79">
        <v>0</v>
      </c>
      <c r="BE79">
        <v>410</v>
      </c>
      <c r="BF79">
        <v>792.72270000000003</v>
      </c>
      <c r="BG79">
        <v>995.80799999999999</v>
      </c>
      <c r="BH79">
        <v>64</v>
      </c>
      <c r="BI79">
        <v>214.86689999999999</v>
      </c>
      <c r="BJ79">
        <v>488.9984</v>
      </c>
      <c r="BK79">
        <v>72</v>
      </c>
      <c r="BL79">
        <v>3794.9690000000001</v>
      </c>
      <c r="BM79">
        <v>1821.6</v>
      </c>
      <c r="BN79">
        <v>0</v>
      </c>
      <c r="BO79">
        <v>0</v>
      </c>
      <c r="BP79">
        <v>0</v>
      </c>
      <c r="BQ79">
        <v>0</v>
      </c>
      <c r="BR79">
        <v>0</v>
      </c>
      <c r="BS79">
        <v>205</v>
      </c>
      <c r="BT79">
        <v>734.46339999999998</v>
      </c>
      <c r="BU79">
        <v>410</v>
      </c>
      <c r="BV79">
        <v>1468.9269999999999</v>
      </c>
      <c r="BW79">
        <v>0</v>
      </c>
      <c r="BX79">
        <v>0</v>
      </c>
      <c r="BY79">
        <v>0</v>
      </c>
      <c r="BZ79">
        <v>0</v>
      </c>
      <c r="CA79">
        <v>0</v>
      </c>
      <c r="CB79">
        <v>2203.39</v>
      </c>
      <c r="CC79">
        <v>0</v>
      </c>
      <c r="CD79">
        <v>0</v>
      </c>
      <c r="CE79">
        <v>0</v>
      </c>
      <c r="CF79">
        <v>0</v>
      </c>
      <c r="CL79" t="s">
        <v>477</v>
      </c>
      <c r="CM79">
        <v>0</v>
      </c>
      <c r="CN79">
        <v>0</v>
      </c>
      <c r="CQ79" t="s">
        <v>477</v>
      </c>
      <c r="CR79">
        <v>0</v>
      </c>
      <c r="CS79">
        <v>0</v>
      </c>
      <c r="CU79">
        <v>0</v>
      </c>
      <c r="CV79">
        <v>0</v>
      </c>
      <c r="CW79" t="s">
        <v>477</v>
      </c>
      <c r="CX79">
        <v>0</v>
      </c>
      <c r="CY79">
        <v>0</v>
      </c>
      <c r="CZ79">
        <v>0</v>
      </c>
      <c r="DA79" t="s">
        <v>477</v>
      </c>
      <c r="DB79">
        <v>0</v>
      </c>
      <c r="DC79">
        <v>0</v>
      </c>
      <c r="DN79">
        <v>0</v>
      </c>
      <c r="DO79">
        <v>0</v>
      </c>
    </row>
    <row r="80" spans="2:119">
      <c r="B80" t="s">
        <v>480</v>
      </c>
      <c r="C80">
        <v>5</v>
      </c>
      <c r="D80" t="s">
        <v>472</v>
      </c>
      <c r="E80">
        <v>3</v>
      </c>
      <c r="F80" t="s">
        <v>638</v>
      </c>
      <c r="J80">
        <v>3</v>
      </c>
      <c r="AJ80">
        <v>10135</v>
      </c>
      <c r="AK80">
        <v>172295</v>
      </c>
      <c r="AL80">
        <v>218824.3</v>
      </c>
      <c r="AM80">
        <v>54180</v>
      </c>
      <c r="AN80">
        <v>273004.3</v>
      </c>
      <c r="AR80">
        <v>78564.22</v>
      </c>
      <c r="AS80">
        <v>10037.120000000001</v>
      </c>
      <c r="AT80">
        <v>4906.46</v>
      </c>
    </row>
    <row r="81" spans="2:133">
      <c r="B81" t="s">
        <v>82</v>
      </c>
      <c r="C81">
        <v>1</v>
      </c>
      <c r="D81" t="s">
        <v>472</v>
      </c>
      <c r="E81">
        <v>3</v>
      </c>
      <c r="F81" t="s">
        <v>638</v>
      </c>
      <c r="J81">
        <v>3</v>
      </c>
      <c r="K81" t="s">
        <v>478</v>
      </c>
      <c r="L81" t="s">
        <v>479</v>
      </c>
      <c r="Y81">
        <v>96</v>
      </c>
      <c r="Z81">
        <v>75</v>
      </c>
      <c r="AA81">
        <v>93.86</v>
      </c>
      <c r="AB81">
        <v>75</v>
      </c>
      <c r="AC81">
        <v>29</v>
      </c>
      <c r="AD81" t="s">
        <v>637</v>
      </c>
      <c r="AE81">
        <v>2</v>
      </c>
      <c r="AF81">
        <v>75</v>
      </c>
      <c r="AG81">
        <v>52</v>
      </c>
      <c r="AH81">
        <v>63.062869999999997</v>
      </c>
      <c r="AI81">
        <v>75</v>
      </c>
      <c r="AJ81">
        <v>10135</v>
      </c>
      <c r="AK81">
        <v>172295</v>
      </c>
      <c r="AL81">
        <v>225122.9</v>
      </c>
      <c r="AM81">
        <v>54180</v>
      </c>
      <c r="AN81">
        <v>279302.90000000002</v>
      </c>
      <c r="AO81">
        <v>0</v>
      </c>
      <c r="AP81">
        <v>23.27524</v>
      </c>
      <c r="AQ81">
        <v>0</v>
      </c>
      <c r="AR81">
        <v>78564.22</v>
      </c>
      <c r="AS81">
        <v>9940.2880000000005</v>
      </c>
      <c r="AT81">
        <v>4906.46</v>
      </c>
      <c r="AU81" t="s">
        <v>476</v>
      </c>
      <c r="AV81">
        <v>0</v>
      </c>
      <c r="AW81">
        <v>0</v>
      </c>
      <c r="AX81">
        <v>0</v>
      </c>
      <c r="BA81">
        <v>0</v>
      </c>
      <c r="BB81">
        <v>0</v>
      </c>
      <c r="BC81">
        <v>225122.9</v>
      </c>
      <c r="BD81">
        <v>0</v>
      </c>
      <c r="BE81">
        <v>10135</v>
      </c>
      <c r="BF81">
        <v>19595.72</v>
      </c>
      <c r="BG81">
        <v>24615.89</v>
      </c>
      <c r="BH81">
        <v>5447.5</v>
      </c>
      <c r="BI81">
        <v>16985.43</v>
      </c>
      <c r="BJ81">
        <v>41622.160000000003</v>
      </c>
      <c r="BK81">
        <v>487.2</v>
      </c>
      <c r="BL81">
        <v>15648.18</v>
      </c>
      <c r="BM81">
        <v>12326.16</v>
      </c>
      <c r="BN81">
        <v>0</v>
      </c>
      <c r="BO81">
        <v>0</v>
      </c>
      <c r="BP81">
        <v>0</v>
      </c>
      <c r="BQ81">
        <v>0</v>
      </c>
      <c r="BR81">
        <v>0</v>
      </c>
      <c r="BS81">
        <v>12878</v>
      </c>
      <c r="BT81">
        <v>46133.25</v>
      </c>
      <c r="BU81">
        <v>14112</v>
      </c>
      <c r="BV81">
        <v>50559.73</v>
      </c>
      <c r="BW81">
        <v>0</v>
      </c>
      <c r="BX81">
        <v>0</v>
      </c>
      <c r="BY81">
        <v>258</v>
      </c>
      <c r="BZ81">
        <v>67725</v>
      </c>
      <c r="CA81">
        <v>54180</v>
      </c>
      <c r="CB81">
        <v>164418</v>
      </c>
      <c r="CC81">
        <v>54180</v>
      </c>
      <c r="CD81">
        <v>0</v>
      </c>
      <c r="CE81">
        <v>0</v>
      </c>
      <c r="CF81">
        <v>0</v>
      </c>
      <c r="CG81">
        <v>0</v>
      </c>
      <c r="CH81">
        <v>0</v>
      </c>
      <c r="CI81">
        <v>0</v>
      </c>
      <c r="CJ81">
        <v>0</v>
      </c>
      <c r="CK81">
        <v>0</v>
      </c>
      <c r="CM81">
        <v>0</v>
      </c>
      <c r="CN81">
        <v>0</v>
      </c>
      <c r="CO81">
        <v>0</v>
      </c>
      <c r="CP81">
        <v>0</v>
      </c>
      <c r="CR81">
        <v>0</v>
      </c>
      <c r="CS81">
        <v>0</v>
      </c>
      <c r="CT81">
        <v>0</v>
      </c>
      <c r="CU81">
        <v>0</v>
      </c>
      <c r="CV81">
        <v>0</v>
      </c>
      <c r="CX81">
        <v>0</v>
      </c>
      <c r="CY81">
        <v>0</v>
      </c>
      <c r="CZ81">
        <v>0</v>
      </c>
      <c r="DB81">
        <v>0</v>
      </c>
      <c r="DC81">
        <v>0</v>
      </c>
      <c r="DD81">
        <v>1384.6559999999999</v>
      </c>
      <c r="DE81">
        <v>0</v>
      </c>
      <c r="DF81">
        <v>7090.9470000000001</v>
      </c>
      <c r="DG81">
        <v>0</v>
      </c>
      <c r="DH81">
        <v>0</v>
      </c>
      <c r="DI81">
        <v>0</v>
      </c>
      <c r="DJ81">
        <v>0</v>
      </c>
      <c r="DK81">
        <v>0</v>
      </c>
      <c r="DL81">
        <v>0</v>
      </c>
      <c r="DM81">
        <v>0</v>
      </c>
      <c r="DR81">
        <v>0</v>
      </c>
      <c r="DS81">
        <v>0</v>
      </c>
      <c r="DT81">
        <v>54.170349999999999</v>
      </c>
      <c r="DU81">
        <v>53.352969999999999</v>
      </c>
      <c r="DV81">
        <v>95</v>
      </c>
      <c r="DW81">
        <v>22.295750000000002</v>
      </c>
      <c r="DX81">
        <v>75</v>
      </c>
      <c r="DY81">
        <v>63.059690000000003</v>
      </c>
      <c r="DZ81">
        <v>51.989710000000002</v>
      </c>
      <c r="EA81">
        <v>28.642040000000001</v>
      </c>
      <c r="EB81">
        <v>90</v>
      </c>
      <c r="EC81">
        <v>75</v>
      </c>
    </row>
    <row r="82" spans="2:133">
      <c r="B82" t="s">
        <v>474</v>
      </c>
      <c r="C82">
        <v>3</v>
      </c>
      <c r="D82" t="s">
        <v>472</v>
      </c>
      <c r="E82">
        <v>4</v>
      </c>
      <c r="F82" t="s">
        <v>639</v>
      </c>
      <c r="G82">
        <v>67</v>
      </c>
      <c r="H82" t="s">
        <v>571</v>
      </c>
      <c r="I82">
        <v>0</v>
      </c>
      <c r="J82">
        <v>1</v>
      </c>
      <c r="K82" t="s">
        <v>478</v>
      </c>
      <c r="L82" t="s">
        <v>482</v>
      </c>
      <c r="Y82">
        <v>96</v>
      </c>
      <c r="Z82">
        <v>75</v>
      </c>
      <c r="AA82">
        <v>95.358000000000004</v>
      </c>
      <c r="AB82">
        <v>75</v>
      </c>
      <c r="AC82">
        <v>29</v>
      </c>
      <c r="AF82">
        <v>75</v>
      </c>
      <c r="AG82">
        <v>52</v>
      </c>
      <c r="AH82">
        <v>63.062869999999997</v>
      </c>
      <c r="AI82">
        <v>75</v>
      </c>
      <c r="AJ82">
        <v>60</v>
      </c>
      <c r="AK82">
        <v>1020</v>
      </c>
      <c r="AL82">
        <v>789.96550000000002</v>
      </c>
      <c r="AM82">
        <v>210</v>
      </c>
      <c r="AN82">
        <v>999.96550000000002</v>
      </c>
      <c r="AR82">
        <v>145.72800000000001</v>
      </c>
      <c r="AS82">
        <v>50</v>
      </c>
      <c r="AT82">
        <v>9.1009449999999994</v>
      </c>
      <c r="AU82" t="s">
        <v>476</v>
      </c>
      <c r="AV82">
        <v>0</v>
      </c>
      <c r="AW82">
        <v>0</v>
      </c>
      <c r="AX82">
        <v>0</v>
      </c>
      <c r="AY82">
        <v>1</v>
      </c>
      <c r="AZ82">
        <v>50</v>
      </c>
      <c r="BA82">
        <v>0</v>
      </c>
      <c r="BB82">
        <v>0</v>
      </c>
      <c r="BE82">
        <v>60</v>
      </c>
      <c r="BF82">
        <v>119.0322</v>
      </c>
      <c r="BG82">
        <v>145.72800000000001</v>
      </c>
      <c r="BH82">
        <v>0</v>
      </c>
      <c r="BI82">
        <v>0</v>
      </c>
      <c r="BJ82">
        <v>0</v>
      </c>
      <c r="BK82">
        <v>0</v>
      </c>
      <c r="BL82">
        <v>0</v>
      </c>
      <c r="BM82">
        <v>0</v>
      </c>
      <c r="BN82">
        <v>0</v>
      </c>
      <c r="BO82">
        <v>0</v>
      </c>
      <c r="BP82">
        <v>0</v>
      </c>
      <c r="BQ82">
        <v>0</v>
      </c>
      <c r="BR82">
        <v>0</v>
      </c>
      <c r="BS82">
        <v>54</v>
      </c>
      <c r="BT82">
        <v>193.4684</v>
      </c>
      <c r="BU82">
        <v>60</v>
      </c>
      <c r="BV82">
        <v>214.9649</v>
      </c>
      <c r="BW82">
        <v>0</v>
      </c>
      <c r="BX82">
        <v>0</v>
      </c>
      <c r="BY82">
        <v>1</v>
      </c>
      <c r="BZ82">
        <v>262.5</v>
      </c>
      <c r="CA82">
        <v>210</v>
      </c>
      <c r="CB82">
        <v>670.93330000000003</v>
      </c>
      <c r="CC82">
        <v>210</v>
      </c>
      <c r="CD82">
        <v>0</v>
      </c>
      <c r="CE82">
        <v>0</v>
      </c>
      <c r="CF82">
        <v>0</v>
      </c>
      <c r="CL82" t="s">
        <v>477</v>
      </c>
      <c r="CM82">
        <v>0</v>
      </c>
      <c r="CN82">
        <v>0</v>
      </c>
      <c r="CQ82" t="s">
        <v>477</v>
      </c>
      <c r="CR82">
        <v>0</v>
      </c>
      <c r="CS82">
        <v>0</v>
      </c>
      <c r="CU82">
        <v>0</v>
      </c>
      <c r="CV82">
        <v>0</v>
      </c>
      <c r="CW82" t="s">
        <v>477</v>
      </c>
      <c r="CX82">
        <v>0</v>
      </c>
      <c r="CY82">
        <v>0</v>
      </c>
      <c r="CZ82">
        <v>0</v>
      </c>
      <c r="DA82" t="s">
        <v>477</v>
      </c>
      <c r="DB82">
        <v>0</v>
      </c>
      <c r="DC82">
        <v>0</v>
      </c>
      <c r="DN82">
        <v>0</v>
      </c>
      <c r="DO82">
        <v>0</v>
      </c>
    </row>
    <row r="83" spans="2:133">
      <c r="B83" t="s">
        <v>474</v>
      </c>
      <c r="C83">
        <v>3</v>
      </c>
      <c r="D83" t="s">
        <v>472</v>
      </c>
      <c r="E83">
        <v>4</v>
      </c>
      <c r="F83" t="s">
        <v>639</v>
      </c>
      <c r="G83">
        <v>68</v>
      </c>
      <c r="H83" t="s">
        <v>572</v>
      </c>
      <c r="I83">
        <v>0</v>
      </c>
      <c r="J83">
        <v>1</v>
      </c>
      <c r="K83" t="s">
        <v>478</v>
      </c>
      <c r="L83" t="s">
        <v>482</v>
      </c>
      <c r="Y83">
        <v>96</v>
      </c>
      <c r="Z83">
        <v>75</v>
      </c>
      <c r="AA83">
        <v>95.358000000000004</v>
      </c>
      <c r="AB83">
        <v>75</v>
      </c>
      <c r="AC83">
        <v>29</v>
      </c>
      <c r="AF83">
        <v>75</v>
      </c>
      <c r="AG83">
        <v>52</v>
      </c>
      <c r="AH83">
        <v>63.062869999999997</v>
      </c>
      <c r="AI83">
        <v>75</v>
      </c>
      <c r="AJ83">
        <v>150</v>
      </c>
      <c r="AK83">
        <v>2550</v>
      </c>
      <c r="AL83">
        <v>1264.922</v>
      </c>
      <c r="AM83">
        <v>0</v>
      </c>
      <c r="AN83">
        <v>1264.922</v>
      </c>
      <c r="AR83">
        <v>364.32</v>
      </c>
      <c r="AS83">
        <v>120</v>
      </c>
      <c r="AT83">
        <v>22.752369999999999</v>
      </c>
      <c r="AU83" t="s">
        <v>476</v>
      </c>
      <c r="AV83">
        <v>0</v>
      </c>
      <c r="AW83">
        <v>0</v>
      </c>
      <c r="AX83">
        <v>0</v>
      </c>
      <c r="AY83">
        <v>1</v>
      </c>
      <c r="AZ83">
        <v>120</v>
      </c>
      <c r="BA83">
        <v>0</v>
      </c>
      <c r="BB83">
        <v>0</v>
      </c>
      <c r="BE83">
        <v>150</v>
      </c>
      <c r="BF83">
        <v>297.58049999999997</v>
      </c>
      <c r="BG83">
        <v>364.32</v>
      </c>
      <c r="BH83">
        <v>0</v>
      </c>
      <c r="BI83">
        <v>0</v>
      </c>
      <c r="BJ83">
        <v>0</v>
      </c>
      <c r="BK83">
        <v>0</v>
      </c>
      <c r="BL83">
        <v>0</v>
      </c>
      <c r="BM83">
        <v>0</v>
      </c>
      <c r="BN83">
        <v>0</v>
      </c>
      <c r="BO83">
        <v>0</v>
      </c>
      <c r="BP83">
        <v>0</v>
      </c>
      <c r="BQ83">
        <v>0</v>
      </c>
      <c r="BR83">
        <v>0</v>
      </c>
      <c r="BS83">
        <v>120</v>
      </c>
      <c r="BT83">
        <v>429.9298</v>
      </c>
      <c r="BU83">
        <v>150</v>
      </c>
      <c r="BV83">
        <v>537.41219999999998</v>
      </c>
      <c r="BW83">
        <v>0</v>
      </c>
      <c r="BX83">
        <v>0</v>
      </c>
      <c r="BY83">
        <v>0</v>
      </c>
      <c r="BZ83">
        <v>0</v>
      </c>
      <c r="CA83">
        <v>0</v>
      </c>
      <c r="CB83">
        <v>967.34199999999998</v>
      </c>
      <c r="CC83">
        <v>0</v>
      </c>
      <c r="CD83">
        <v>0</v>
      </c>
      <c r="CE83">
        <v>0</v>
      </c>
      <c r="CF83">
        <v>0</v>
      </c>
      <c r="CL83" t="s">
        <v>477</v>
      </c>
      <c r="CM83">
        <v>0</v>
      </c>
      <c r="CN83">
        <v>0</v>
      </c>
      <c r="CQ83" t="s">
        <v>477</v>
      </c>
      <c r="CR83">
        <v>0</v>
      </c>
      <c r="CS83">
        <v>0</v>
      </c>
      <c r="CU83">
        <v>0</v>
      </c>
      <c r="CV83">
        <v>0</v>
      </c>
      <c r="CW83" t="s">
        <v>477</v>
      </c>
      <c r="CX83">
        <v>0</v>
      </c>
      <c r="CY83">
        <v>0</v>
      </c>
      <c r="CZ83">
        <v>0</v>
      </c>
      <c r="DA83" t="s">
        <v>477</v>
      </c>
      <c r="DB83">
        <v>0</v>
      </c>
      <c r="DC83">
        <v>0</v>
      </c>
      <c r="DN83">
        <v>0</v>
      </c>
      <c r="DO83">
        <v>0</v>
      </c>
    </row>
    <row r="84" spans="2:133">
      <c r="B84" t="s">
        <v>474</v>
      </c>
      <c r="C84">
        <v>3</v>
      </c>
      <c r="D84" t="s">
        <v>472</v>
      </c>
      <c r="E84">
        <v>4</v>
      </c>
      <c r="F84" t="s">
        <v>639</v>
      </c>
      <c r="G84">
        <v>69</v>
      </c>
      <c r="H84" t="s">
        <v>573</v>
      </c>
      <c r="I84">
        <v>0</v>
      </c>
      <c r="J84">
        <v>1</v>
      </c>
      <c r="K84" t="s">
        <v>478</v>
      </c>
      <c r="L84" t="s">
        <v>482</v>
      </c>
      <c r="Y84">
        <v>96</v>
      </c>
      <c r="Z84">
        <v>75</v>
      </c>
      <c r="AA84">
        <v>95.358000000000004</v>
      </c>
      <c r="AB84">
        <v>75</v>
      </c>
      <c r="AC84">
        <v>29</v>
      </c>
      <c r="AF84">
        <v>75</v>
      </c>
      <c r="AG84">
        <v>52</v>
      </c>
      <c r="AH84">
        <v>63.062869999999997</v>
      </c>
      <c r="AI84">
        <v>75</v>
      </c>
      <c r="AJ84">
        <v>185</v>
      </c>
      <c r="AK84">
        <v>3145</v>
      </c>
      <c r="AL84">
        <v>1361.229</v>
      </c>
      <c r="AM84">
        <v>0</v>
      </c>
      <c r="AN84">
        <v>1361.229</v>
      </c>
      <c r="AR84">
        <v>449.32799999999997</v>
      </c>
      <c r="AS84">
        <v>111</v>
      </c>
      <c r="AT84">
        <v>28.061250000000001</v>
      </c>
      <c r="AU84" t="s">
        <v>476</v>
      </c>
      <c r="AV84">
        <v>0</v>
      </c>
      <c r="AW84">
        <v>0</v>
      </c>
      <c r="AX84">
        <v>0</v>
      </c>
      <c r="AY84">
        <v>1</v>
      </c>
      <c r="AZ84">
        <v>111</v>
      </c>
      <c r="BA84">
        <v>0</v>
      </c>
      <c r="BB84">
        <v>0</v>
      </c>
      <c r="BE84">
        <v>185</v>
      </c>
      <c r="BF84">
        <v>367.01589999999999</v>
      </c>
      <c r="BG84">
        <v>449.32799999999997</v>
      </c>
      <c r="BH84">
        <v>0</v>
      </c>
      <c r="BI84">
        <v>0</v>
      </c>
      <c r="BJ84">
        <v>0</v>
      </c>
      <c r="BK84">
        <v>0</v>
      </c>
      <c r="BL84">
        <v>0</v>
      </c>
      <c r="BM84">
        <v>0</v>
      </c>
      <c r="BN84">
        <v>0</v>
      </c>
      <c r="BO84">
        <v>0</v>
      </c>
      <c r="BP84">
        <v>0</v>
      </c>
      <c r="BQ84">
        <v>0</v>
      </c>
      <c r="BR84">
        <v>0</v>
      </c>
      <c r="BS84">
        <v>93</v>
      </c>
      <c r="BT84">
        <v>331.4042</v>
      </c>
      <c r="BU84">
        <v>185</v>
      </c>
      <c r="BV84">
        <v>662.80830000000003</v>
      </c>
      <c r="BW84">
        <v>0</v>
      </c>
      <c r="BX84">
        <v>0</v>
      </c>
      <c r="BY84">
        <v>0</v>
      </c>
      <c r="BZ84">
        <v>0</v>
      </c>
      <c r="CA84">
        <v>0</v>
      </c>
      <c r="CB84">
        <v>994.21249999999998</v>
      </c>
      <c r="CC84">
        <v>0</v>
      </c>
      <c r="CD84">
        <v>0</v>
      </c>
      <c r="CE84">
        <v>0</v>
      </c>
      <c r="CF84">
        <v>0</v>
      </c>
      <c r="CL84" t="s">
        <v>477</v>
      </c>
      <c r="CM84">
        <v>0</v>
      </c>
      <c r="CN84">
        <v>0</v>
      </c>
      <c r="CQ84" t="s">
        <v>477</v>
      </c>
      <c r="CR84">
        <v>0</v>
      </c>
      <c r="CS84">
        <v>0</v>
      </c>
      <c r="CU84">
        <v>0</v>
      </c>
      <c r="CV84">
        <v>0</v>
      </c>
      <c r="CW84" t="s">
        <v>477</v>
      </c>
      <c r="CX84">
        <v>0</v>
      </c>
      <c r="CY84">
        <v>0</v>
      </c>
      <c r="CZ84">
        <v>0</v>
      </c>
      <c r="DA84" t="s">
        <v>477</v>
      </c>
      <c r="DB84">
        <v>0</v>
      </c>
      <c r="DC84">
        <v>0</v>
      </c>
      <c r="DN84">
        <v>0</v>
      </c>
      <c r="DO84">
        <v>0</v>
      </c>
    </row>
    <row r="85" spans="2:133">
      <c r="B85" t="s">
        <v>474</v>
      </c>
      <c r="C85">
        <v>3</v>
      </c>
      <c r="D85" t="s">
        <v>472</v>
      </c>
      <c r="E85">
        <v>4</v>
      </c>
      <c r="F85" t="s">
        <v>639</v>
      </c>
      <c r="G85">
        <v>70</v>
      </c>
      <c r="H85" t="s">
        <v>574</v>
      </c>
      <c r="I85">
        <v>0</v>
      </c>
      <c r="J85">
        <v>1</v>
      </c>
      <c r="K85" t="s">
        <v>478</v>
      </c>
      <c r="L85" t="s">
        <v>482</v>
      </c>
      <c r="Y85">
        <v>96</v>
      </c>
      <c r="Z85">
        <v>75</v>
      </c>
      <c r="AA85">
        <v>95.358000000000004</v>
      </c>
      <c r="AB85">
        <v>75</v>
      </c>
      <c r="AC85">
        <v>29</v>
      </c>
      <c r="AF85">
        <v>75</v>
      </c>
      <c r="AG85">
        <v>52</v>
      </c>
      <c r="AH85">
        <v>63.062869999999997</v>
      </c>
      <c r="AI85">
        <v>75</v>
      </c>
      <c r="AJ85">
        <v>250</v>
      </c>
      <c r="AK85">
        <v>4250</v>
      </c>
      <c r="AL85">
        <v>3247.7730000000001</v>
      </c>
      <c r="AM85">
        <v>839.99990000000003</v>
      </c>
      <c r="AN85">
        <v>4087.7730000000001</v>
      </c>
      <c r="AR85">
        <v>607.20000000000005</v>
      </c>
      <c r="AS85">
        <v>146.41650000000001</v>
      </c>
      <c r="AT85">
        <v>37.920610000000003</v>
      </c>
      <c r="AU85" t="s">
        <v>476</v>
      </c>
      <c r="AV85">
        <v>0</v>
      </c>
      <c r="AW85">
        <v>0</v>
      </c>
      <c r="AX85">
        <v>0</v>
      </c>
      <c r="AY85">
        <v>1</v>
      </c>
      <c r="AZ85">
        <v>146.41650000000001</v>
      </c>
      <c r="BA85">
        <v>0</v>
      </c>
      <c r="BB85">
        <v>0</v>
      </c>
      <c r="BE85">
        <v>250</v>
      </c>
      <c r="BF85">
        <v>495.96749999999997</v>
      </c>
      <c r="BG85">
        <v>607.20000000000005</v>
      </c>
      <c r="BH85">
        <v>0</v>
      </c>
      <c r="BI85">
        <v>0</v>
      </c>
      <c r="BJ85">
        <v>0</v>
      </c>
      <c r="BK85">
        <v>0</v>
      </c>
      <c r="BL85">
        <v>0</v>
      </c>
      <c r="BM85">
        <v>0</v>
      </c>
      <c r="BN85">
        <v>0</v>
      </c>
      <c r="BO85">
        <v>0</v>
      </c>
      <c r="BP85">
        <v>0</v>
      </c>
      <c r="BQ85">
        <v>0</v>
      </c>
      <c r="BR85">
        <v>0</v>
      </c>
      <c r="BS85">
        <v>225</v>
      </c>
      <c r="BT85">
        <v>806.11829999999998</v>
      </c>
      <c r="BU85">
        <v>250</v>
      </c>
      <c r="BV85">
        <v>895.68700000000001</v>
      </c>
      <c r="BW85">
        <v>0</v>
      </c>
      <c r="BX85">
        <v>0</v>
      </c>
      <c r="BY85">
        <v>4</v>
      </c>
      <c r="BZ85">
        <v>1050</v>
      </c>
      <c r="CA85">
        <v>839.99990000000003</v>
      </c>
      <c r="CB85">
        <v>2751.8049999999998</v>
      </c>
      <c r="CC85">
        <v>839.99990000000003</v>
      </c>
      <c r="CD85">
        <v>0</v>
      </c>
      <c r="CE85">
        <v>0</v>
      </c>
      <c r="CF85">
        <v>0</v>
      </c>
      <c r="CL85" t="s">
        <v>477</v>
      </c>
      <c r="CM85">
        <v>0</v>
      </c>
      <c r="CN85">
        <v>0</v>
      </c>
      <c r="CQ85" t="s">
        <v>477</v>
      </c>
      <c r="CR85">
        <v>0</v>
      </c>
      <c r="CS85">
        <v>0</v>
      </c>
      <c r="CU85">
        <v>0</v>
      </c>
      <c r="CV85">
        <v>0</v>
      </c>
      <c r="CW85" t="s">
        <v>477</v>
      </c>
      <c r="CX85">
        <v>0</v>
      </c>
      <c r="CY85">
        <v>0</v>
      </c>
      <c r="CZ85">
        <v>0</v>
      </c>
      <c r="DA85" t="s">
        <v>477</v>
      </c>
      <c r="DB85">
        <v>0</v>
      </c>
      <c r="DC85">
        <v>0</v>
      </c>
      <c r="DN85">
        <v>0</v>
      </c>
      <c r="DO85">
        <v>0</v>
      </c>
    </row>
    <row r="86" spans="2:133">
      <c r="B86" t="s">
        <v>474</v>
      </c>
      <c r="C86">
        <v>3</v>
      </c>
      <c r="D86" t="s">
        <v>472</v>
      </c>
      <c r="E86">
        <v>4</v>
      </c>
      <c r="F86" t="s">
        <v>639</v>
      </c>
      <c r="G86">
        <v>71</v>
      </c>
      <c r="H86" t="s">
        <v>575</v>
      </c>
      <c r="I86">
        <v>0</v>
      </c>
      <c r="J86">
        <v>1</v>
      </c>
      <c r="K86" t="s">
        <v>478</v>
      </c>
      <c r="L86" t="s">
        <v>482</v>
      </c>
      <c r="Y86">
        <v>96</v>
      </c>
      <c r="Z86">
        <v>75</v>
      </c>
      <c r="AA86">
        <v>95.358000000000004</v>
      </c>
      <c r="AB86">
        <v>75</v>
      </c>
      <c r="AC86">
        <v>29</v>
      </c>
      <c r="AF86">
        <v>75</v>
      </c>
      <c r="AG86">
        <v>52</v>
      </c>
      <c r="AH86">
        <v>63.062869999999997</v>
      </c>
      <c r="AI86">
        <v>75</v>
      </c>
      <c r="AJ86">
        <v>130</v>
      </c>
      <c r="AK86">
        <v>2210</v>
      </c>
      <c r="AL86">
        <v>2192.8420000000001</v>
      </c>
      <c r="AM86">
        <v>839.99990000000003</v>
      </c>
      <c r="AN86">
        <v>3032.8420000000001</v>
      </c>
      <c r="AR86">
        <v>315.74400000000003</v>
      </c>
      <c r="AS86">
        <v>98.857950000000002</v>
      </c>
      <c r="AT86">
        <v>19.718720000000001</v>
      </c>
      <c r="AU86" t="s">
        <v>476</v>
      </c>
      <c r="AV86">
        <v>0</v>
      </c>
      <c r="AW86">
        <v>0</v>
      </c>
      <c r="AX86">
        <v>0</v>
      </c>
      <c r="AY86">
        <v>1</v>
      </c>
      <c r="AZ86">
        <v>98.857950000000002</v>
      </c>
      <c r="BA86">
        <v>0</v>
      </c>
      <c r="BB86">
        <v>0</v>
      </c>
      <c r="BE86">
        <v>130</v>
      </c>
      <c r="BF86">
        <v>257.90309999999999</v>
      </c>
      <c r="BG86">
        <v>315.74400000000003</v>
      </c>
      <c r="BH86">
        <v>0</v>
      </c>
      <c r="BI86">
        <v>0</v>
      </c>
      <c r="BJ86">
        <v>0</v>
      </c>
      <c r="BK86">
        <v>0</v>
      </c>
      <c r="BL86">
        <v>0</v>
      </c>
      <c r="BM86">
        <v>0</v>
      </c>
      <c r="BN86">
        <v>0</v>
      </c>
      <c r="BO86">
        <v>0</v>
      </c>
      <c r="BP86">
        <v>0</v>
      </c>
      <c r="BQ86">
        <v>0</v>
      </c>
      <c r="BR86">
        <v>0</v>
      </c>
      <c r="BS86">
        <v>117</v>
      </c>
      <c r="BT86">
        <v>419.18150000000003</v>
      </c>
      <c r="BU86">
        <v>130</v>
      </c>
      <c r="BV86">
        <v>465.75720000000001</v>
      </c>
      <c r="BW86">
        <v>0</v>
      </c>
      <c r="BX86">
        <v>0</v>
      </c>
      <c r="BY86">
        <v>4</v>
      </c>
      <c r="BZ86">
        <v>1050</v>
      </c>
      <c r="CA86">
        <v>839.99990000000003</v>
      </c>
      <c r="CB86">
        <v>1934.9390000000001</v>
      </c>
      <c r="CC86">
        <v>839.99990000000003</v>
      </c>
      <c r="CD86">
        <v>0</v>
      </c>
      <c r="CE86">
        <v>0</v>
      </c>
      <c r="CF86">
        <v>0</v>
      </c>
      <c r="CL86" t="s">
        <v>477</v>
      </c>
      <c r="CM86">
        <v>0</v>
      </c>
      <c r="CN86">
        <v>0</v>
      </c>
      <c r="CQ86" t="s">
        <v>477</v>
      </c>
      <c r="CR86">
        <v>0</v>
      </c>
      <c r="CS86">
        <v>0</v>
      </c>
      <c r="CU86">
        <v>0</v>
      </c>
      <c r="CV86">
        <v>0</v>
      </c>
      <c r="CW86" t="s">
        <v>477</v>
      </c>
      <c r="CX86">
        <v>0</v>
      </c>
      <c r="CY86">
        <v>0</v>
      </c>
      <c r="CZ86">
        <v>0</v>
      </c>
      <c r="DA86" t="s">
        <v>477</v>
      </c>
      <c r="DB86">
        <v>0</v>
      </c>
      <c r="DC86">
        <v>0</v>
      </c>
      <c r="DN86">
        <v>0</v>
      </c>
      <c r="DO86">
        <v>0</v>
      </c>
    </row>
    <row r="87" spans="2:133">
      <c r="B87" t="s">
        <v>474</v>
      </c>
      <c r="C87">
        <v>3</v>
      </c>
      <c r="D87" t="s">
        <v>472</v>
      </c>
      <c r="E87">
        <v>4</v>
      </c>
      <c r="F87" t="s">
        <v>639</v>
      </c>
      <c r="G87">
        <v>72</v>
      </c>
      <c r="H87" t="s">
        <v>576</v>
      </c>
      <c r="I87">
        <v>0</v>
      </c>
      <c r="J87">
        <v>1</v>
      </c>
      <c r="K87" t="s">
        <v>478</v>
      </c>
      <c r="L87" t="s">
        <v>482</v>
      </c>
      <c r="Y87">
        <v>96</v>
      </c>
      <c r="Z87">
        <v>75</v>
      </c>
      <c r="AA87">
        <v>95.358000000000004</v>
      </c>
      <c r="AB87">
        <v>75</v>
      </c>
      <c r="AC87">
        <v>29</v>
      </c>
      <c r="AF87">
        <v>75</v>
      </c>
      <c r="AG87">
        <v>52</v>
      </c>
      <c r="AH87">
        <v>63.062869999999997</v>
      </c>
      <c r="AI87">
        <v>75</v>
      </c>
      <c r="AJ87">
        <v>130</v>
      </c>
      <c r="AK87">
        <v>2210</v>
      </c>
      <c r="AL87">
        <v>2192.8420000000001</v>
      </c>
      <c r="AM87">
        <v>839.99990000000003</v>
      </c>
      <c r="AN87">
        <v>3032.8420000000001</v>
      </c>
      <c r="AR87">
        <v>315.74400000000003</v>
      </c>
      <c r="AS87">
        <v>98.857950000000002</v>
      </c>
      <c r="AT87">
        <v>19.718720000000001</v>
      </c>
      <c r="AU87" t="s">
        <v>476</v>
      </c>
      <c r="AV87">
        <v>0</v>
      </c>
      <c r="AW87">
        <v>0</v>
      </c>
      <c r="AX87">
        <v>0</v>
      </c>
      <c r="AY87">
        <v>1</v>
      </c>
      <c r="AZ87">
        <v>98.857950000000002</v>
      </c>
      <c r="BA87">
        <v>0</v>
      </c>
      <c r="BB87">
        <v>0</v>
      </c>
      <c r="BE87">
        <v>130</v>
      </c>
      <c r="BF87">
        <v>257.90309999999999</v>
      </c>
      <c r="BG87">
        <v>315.74400000000003</v>
      </c>
      <c r="BH87">
        <v>0</v>
      </c>
      <c r="BI87">
        <v>0</v>
      </c>
      <c r="BJ87">
        <v>0</v>
      </c>
      <c r="BK87">
        <v>0</v>
      </c>
      <c r="BL87">
        <v>0</v>
      </c>
      <c r="BM87">
        <v>0</v>
      </c>
      <c r="BN87">
        <v>0</v>
      </c>
      <c r="BO87">
        <v>0</v>
      </c>
      <c r="BP87">
        <v>0</v>
      </c>
      <c r="BQ87">
        <v>0</v>
      </c>
      <c r="BR87">
        <v>0</v>
      </c>
      <c r="BS87">
        <v>117</v>
      </c>
      <c r="BT87">
        <v>419.18150000000003</v>
      </c>
      <c r="BU87">
        <v>130</v>
      </c>
      <c r="BV87">
        <v>465.75720000000001</v>
      </c>
      <c r="BW87">
        <v>0</v>
      </c>
      <c r="BX87">
        <v>0</v>
      </c>
      <c r="BY87">
        <v>4</v>
      </c>
      <c r="BZ87">
        <v>1050</v>
      </c>
      <c r="CA87">
        <v>839.99990000000003</v>
      </c>
      <c r="CB87">
        <v>1934.9390000000001</v>
      </c>
      <c r="CC87">
        <v>839.99990000000003</v>
      </c>
      <c r="CD87">
        <v>0</v>
      </c>
      <c r="CE87">
        <v>0</v>
      </c>
      <c r="CF87">
        <v>0</v>
      </c>
      <c r="CL87" t="s">
        <v>477</v>
      </c>
      <c r="CM87">
        <v>0</v>
      </c>
      <c r="CN87">
        <v>0</v>
      </c>
      <c r="CQ87" t="s">
        <v>477</v>
      </c>
      <c r="CR87">
        <v>0</v>
      </c>
      <c r="CS87">
        <v>0</v>
      </c>
      <c r="CU87">
        <v>0</v>
      </c>
      <c r="CV87">
        <v>0</v>
      </c>
      <c r="CW87" t="s">
        <v>477</v>
      </c>
      <c r="CX87">
        <v>0</v>
      </c>
      <c r="CY87">
        <v>0</v>
      </c>
      <c r="CZ87">
        <v>0</v>
      </c>
      <c r="DA87" t="s">
        <v>477</v>
      </c>
      <c r="DB87">
        <v>0</v>
      </c>
      <c r="DC87">
        <v>0</v>
      </c>
      <c r="DN87">
        <v>0</v>
      </c>
      <c r="DO87">
        <v>0</v>
      </c>
    </row>
    <row r="88" spans="2:133">
      <c r="B88" t="s">
        <v>474</v>
      </c>
      <c r="C88">
        <v>3</v>
      </c>
      <c r="D88" t="s">
        <v>472</v>
      </c>
      <c r="E88">
        <v>4</v>
      </c>
      <c r="F88" t="s">
        <v>639</v>
      </c>
      <c r="G88">
        <v>73</v>
      </c>
      <c r="H88" t="s">
        <v>577</v>
      </c>
      <c r="I88">
        <v>0</v>
      </c>
      <c r="J88">
        <v>1</v>
      </c>
      <c r="K88" t="s">
        <v>478</v>
      </c>
      <c r="L88" t="s">
        <v>482</v>
      </c>
      <c r="Y88">
        <v>96</v>
      </c>
      <c r="Z88">
        <v>75</v>
      </c>
      <c r="AA88">
        <v>95.358000000000004</v>
      </c>
      <c r="AB88">
        <v>75</v>
      </c>
      <c r="AC88">
        <v>29</v>
      </c>
      <c r="AF88">
        <v>75</v>
      </c>
      <c r="AG88">
        <v>52</v>
      </c>
      <c r="AH88">
        <v>63.062869999999997</v>
      </c>
      <c r="AI88">
        <v>75</v>
      </c>
      <c r="AJ88">
        <v>75</v>
      </c>
      <c r="AK88">
        <v>1275</v>
      </c>
      <c r="AL88">
        <v>498.10820000000001</v>
      </c>
      <c r="AM88">
        <v>0</v>
      </c>
      <c r="AN88">
        <v>498.10820000000001</v>
      </c>
      <c r="AR88">
        <v>182.16</v>
      </c>
      <c r="AS88">
        <v>60</v>
      </c>
      <c r="AT88">
        <v>11.37618</v>
      </c>
      <c r="AU88" t="s">
        <v>476</v>
      </c>
      <c r="AV88">
        <v>0</v>
      </c>
      <c r="AW88">
        <v>0</v>
      </c>
      <c r="AX88">
        <v>0</v>
      </c>
      <c r="AY88">
        <v>1</v>
      </c>
      <c r="AZ88">
        <v>60</v>
      </c>
      <c r="BA88">
        <v>0</v>
      </c>
      <c r="BB88">
        <v>0</v>
      </c>
      <c r="BE88">
        <v>75</v>
      </c>
      <c r="BF88">
        <v>148.7903</v>
      </c>
      <c r="BG88">
        <v>182.16</v>
      </c>
      <c r="BH88">
        <v>0</v>
      </c>
      <c r="BI88">
        <v>0</v>
      </c>
      <c r="BJ88">
        <v>0</v>
      </c>
      <c r="BK88">
        <v>0</v>
      </c>
      <c r="BL88">
        <v>0</v>
      </c>
      <c r="BM88">
        <v>0</v>
      </c>
      <c r="BN88">
        <v>0</v>
      </c>
      <c r="BO88">
        <v>0</v>
      </c>
      <c r="BP88">
        <v>0</v>
      </c>
      <c r="BQ88">
        <v>0</v>
      </c>
      <c r="BR88">
        <v>0</v>
      </c>
      <c r="BS88">
        <v>23</v>
      </c>
      <c r="BT88">
        <v>80.611829999999998</v>
      </c>
      <c r="BU88">
        <v>75</v>
      </c>
      <c r="BV88">
        <v>268.70609999999999</v>
      </c>
      <c r="BW88">
        <v>0</v>
      </c>
      <c r="BX88">
        <v>0</v>
      </c>
      <c r="BY88">
        <v>0</v>
      </c>
      <c r="BZ88">
        <v>0</v>
      </c>
      <c r="CA88">
        <v>0</v>
      </c>
      <c r="CB88">
        <v>349.31790000000001</v>
      </c>
      <c r="CC88">
        <v>0</v>
      </c>
      <c r="CD88">
        <v>0</v>
      </c>
      <c r="CE88">
        <v>0</v>
      </c>
      <c r="CF88">
        <v>0</v>
      </c>
      <c r="CL88" t="s">
        <v>477</v>
      </c>
      <c r="CM88">
        <v>0</v>
      </c>
      <c r="CN88">
        <v>0</v>
      </c>
      <c r="CQ88" t="s">
        <v>477</v>
      </c>
      <c r="CR88">
        <v>0</v>
      </c>
      <c r="CS88">
        <v>0</v>
      </c>
      <c r="CU88">
        <v>0</v>
      </c>
      <c r="CV88">
        <v>0</v>
      </c>
      <c r="CW88" t="s">
        <v>477</v>
      </c>
      <c r="CX88">
        <v>0</v>
      </c>
      <c r="CY88">
        <v>0</v>
      </c>
      <c r="CZ88">
        <v>0</v>
      </c>
      <c r="DA88" t="s">
        <v>477</v>
      </c>
      <c r="DB88">
        <v>0</v>
      </c>
      <c r="DC88">
        <v>0</v>
      </c>
      <c r="DN88">
        <v>0</v>
      </c>
      <c r="DO88">
        <v>0</v>
      </c>
    </row>
    <row r="89" spans="2:133">
      <c r="B89" t="s">
        <v>474</v>
      </c>
      <c r="C89">
        <v>3</v>
      </c>
      <c r="D89" t="s">
        <v>472</v>
      </c>
      <c r="E89">
        <v>4</v>
      </c>
      <c r="F89" t="s">
        <v>639</v>
      </c>
      <c r="G89">
        <v>74</v>
      </c>
      <c r="H89" t="s">
        <v>578</v>
      </c>
      <c r="I89">
        <v>0</v>
      </c>
      <c r="J89">
        <v>1</v>
      </c>
      <c r="K89" t="s">
        <v>478</v>
      </c>
      <c r="L89" t="s">
        <v>482</v>
      </c>
      <c r="Y89">
        <v>96</v>
      </c>
      <c r="Z89">
        <v>75</v>
      </c>
      <c r="AA89">
        <v>95.358000000000004</v>
      </c>
      <c r="AB89">
        <v>75</v>
      </c>
      <c r="AC89">
        <v>29</v>
      </c>
      <c r="AF89">
        <v>75</v>
      </c>
      <c r="AG89">
        <v>52</v>
      </c>
      <c r="AH89">
        <v>63.062869999999997</v>
      </c>
      <c r="AI89">
        <v>75</v>
      </c>
      <c r="AJ89">
        <v>150</v>
      </c>
      <c r="AK89">
        <v>2550</v>
      </c>
      <c r="AL89">
        <v>1903.6110000000001</v>
      </c>
      <c r="AM89">
        <v>210</v>
      </c>
      <c r="AN89">
        <v>2113.6109999999999</v>
      </c>
      <c r="AR89">
        <v>364.32</v>
      </c>
      <c r="AS89">
        <v>85.818820000000002</v>
      </c>
      <c r="AT89">
        <v>22.752369999999999</v>
      </c>
      <c r="AU89" t="s">
        <v>476</v>
      </c>
      <c r="AV89">
        <v>0</v>
      </c>
      <c r="AW89">
        <v>0</v>
      </c>
      <c r="AX89">
        <v>0</v>
      </c>
      <c r="AY89">
        <v>1</v>
      </c>
      <c r="AZ89">
        <v>85.818820000000002</v>
      </c>
      <c r="BA89">
        <v>0</v>
      </c>
      <c r="BB89">
        <v>0</v>
      </c>
      <c r="BE89">
        <v>150</v>
      </c>
      <c r="BF89">
        <v>297.58049999999997</v>
      </c>
      <c r="BG89">
        <v>364.32</v>
      </c>
      <c r="BH89">
        <v>0</v>
      </c>
      <c r="BI89">
        <v>0</v>
      </c>
      <c r="BJ89">
        <v>0</v>
      </c>
      <c r="BK89">
        <v>0</v>
      </c>
      <c r="BL89">
        <v>0</v>
      </c>
      <c r="BM89">
        <v>0</v>
      </c>
      <c r="BN89">
        <v>0</v>
      </c>
      <c r="BO89">
        <v>0</v>
      </c>
      <c r="BP89">
        <v>0</v>
      </c>
      <c r="BQ89">
        <v>0</v>
      </c>
      <c r="BR89">
        <v>0</v>
      </c>
      <c r="BS89">
        <v>225</v>
      </c>
      <c r="BT89">
        <v>806.11829999999998</v>
      </c>
      <c r="BU89">
        <v>150</v>
      </c>
      <c r="BV89">
        <v>537.41219999999998</v>
      </c>
      <c r="BW89">
        <v>0</v>
      </c>
      <c r="BX89">
        <v>0</v>
      </c>
      <c r="BY89">
        <v>1</v>
      </c>
      <c r="BZ89">
        <v>262.5</v>
      </c>
      <c r="CA89">
        <v>210</v>
      </c>
      <c r="CB89">
        <v>1606.0309999999999</v>
      </c>
      <c r="CC89">
        <v>210</v>
      </c>
      <c r="CD89">
        <v>0</v>
      </c>
      <c r="CE89">
        <v>0</v>
      </c>
      <c r="CF89">
        <v>0</v>
      </c>
      <c r="CL89" t="s">
        <v>477</v>
      </c>
      <c r="CM89">
        <v>0</v>
      </c>
      <c r="CN89">
        <v>0</v>
      </c>
      <c r="CQ89" t="s">
        <v>477</v>
      </c>
      <c r="CR89">
        <v>0</v>
      </c>
      <c r="CS89">
        <v>0</v>
      </c>
      <c r="CU89">
        <v>0</v>
      </c>
      <c r="CV89">
        <v>0</v>
      </c>
      <c r="CW89" t="s">
        <v>477</v>
      </c>
      <c r="CX89">
        <v>0</v>
      </c>
      <c r="CY89">
        <v>0</v>
      </c>
      <c r="CZ89">
        <v>0</v>
      </c>
      <c r="DA89" t="s">
        <v>477</v>
      </c>
      <c r="DB89">
        <v>0</v>
      </c>
      <c r="DC89">
        <v>0</v>
      </c>
      <c r="DN89">
        <v>0</v>
      </c>
      <c r="DO89">
        <v>0</v>
      </c>
    </row>
    <row r="90" spans="2:133">
      <c r="B90" t="s">
        <v>474</v>
      </c>
      <c r="C90">
        <v>3</v>
      </c>
      <c r="D90" t="s">
        <v>472</v>
      </c>
      <c r="E90">
        <v>4</v>
      </c>
      <c r="F90" t="s">
        <v>639</v>
      </c>
      <c r="G90">
        <v>75</v>
      </c>
      <c r="H90" t="s">
        <v>579</v>
      </c>
      <c r="I90">
        <v>0</v>
      </c>
      <c r="J90">
        <v>1</v>
      </c>
      <c r="K90" t="s">
        <v>478</v>
      </c>
      <c r="L90" t="s">
        <v>482</v>
      </c>
      <c r="Y90">
        <v>96</v>
      </c>
      <c r="Z90">
        <v>75</v>
      </c>
      <c r="AA90">
        <v>95.358000000000004</v>
      </c>
      <c r="AB90">
        <v>75</v>
      </c>
      <c r="AC90">
        <v>29</v>
      </c>
      <c r="AF90">
        <v>75</v>
      </c>
      <c r="AG90">
        <v>52</v>
      </c>
      <c r="AH90">
        <v>63.062869999999997</v>
      </c>
      <c r="AI90">
        <v>75</v>
      </c>
      <c r="AJ90">
        <v>870</v>
      </c>
      <c r="AK90">
        <v>14790</v>
      </c>
      <c r="AL90">
        <v>32745.73</v>
      </c>
      <c r="AM90">
        <v>5460</v>
      </c>
      <c r="AN90">
        <v>38205.730000000003</v>
      </c>
      <c r="AR90">
        <v>7173.2380000000003</v>
      </c>
      <c r="AS90">
        <v>1476.2470000000001</v>
      </c>
      <c r="AT90">
        <v>447.98009999999999</v>
      </c>
      <c r="AU90" t="s">
        <v>476</v>
      </c>
      <c r="AV90">
        <v>0</v>
      </c>
      <c r="AW90">
        <v>0</v>
      </c>
      <c r="AX90">
        <v>0</v>
      </c>
      <c r="AY90">
        <v>1</v>
      </c>
      <c r="AZ90">
        <v>1476.2470000000001</v>
      </c>
      <c r="BA90">
        <v>0</v>
      </c>
      <c r="BB90">
        <v>0</v>
      </c>
      <c r="BE90">
        <v>870</v>
      </c>
      <c r="BF90">
        <v>1725.9670000000001</v>
      </c>
      <c r="BG90">
        <v>2113.056</v>
      </c>
      <c r="BH90">
        <v>463.6</v>
      </c>
      <c r="BI90">
        <v>830.59259999999995</v>
      </c>
      <c r="BJ90">
        <v>3542.1819999999998</v>
      </c>
      <c r="BK90">
        <v>60</v>
      </c>
      <c r="BL90">
        <v>1097.3969999999999</v>
      </c>
      <c r="BM90">
        <v>1518</v>
      </c>
      <c r="BN90">
        <v>0</v>
      </c>
      <c r="BO90">
        <v>0</v>
      </c>
      <c r="BP90">
        <v>0</v>
      </c>
      <c r="BQ90">
        <v>0</v>
      </c>
      <c r="BR90">
        <v>0</v>
      </c>
      <c r="BS90">
        <v>1218</v>
      </c>
      <c r="BT90">
        <v>4363.7870000000003</v>
      </c>
      <c r="BU90">
        <v>4997</v>
      </c>
      <c r="BV90">
        <v>17902.990000000002</v>
      </c>
      <c r="BW90">
        <v>0</v>
      </c>
      <c r="BX90">
        <v>0</v>
      </c>
      <c r="BY90">
        <v>26</v>
      </c>
      <c r="BZ90">
        <v>6825</v>
      </c>
      <c r="CA90">
        <v>5460</v>
      </c>
      <c r="CB90">
        <v>29091.78</v>
      </c>
      <c r="CC90">
        <v>5460</v>
      </c>
      <c r="CD90">
        <v>0</v>
      </c>
      <c r="CE90">
        <v>0</v>
      </c>
      <c r="CF90">
        <v>0</v>
      </c>
      <c r="CL90" t="s">
        <v>477</v>
      </c>
      <c r="CM90">
        <v>0</v>
      </c>
      <c r="CN90">
        <v>0</v>
      </c>
      <c r="CQ90" t="s">
        <v>477</v>
      </c>
      <c r="CR90">
        <v>0</v>
      </c>
      <c r="CS90">
        <v>0</v>
      </c>
      <c r="CU90">
        <v>0</v>
      </c>
      <c r="CV90">
        <v>0</v>
      </c>
      <c r="CW90" t="s">
        <v>477</v>
      </c>
      <c r="CX90">
        <v>0</v>
      </c>
      <c r="CY90">
        <v>0</v>
      </c>
      <c r="CZ90">
        <v>0</v>
      </c>
      <c r="DA90" t="s">
        <v>477</v>
      </c>
      <c r="DB90">
        <v>0</v>
      </c>
      <c r="DC90">
        <v>0</v>
      </c>
      <c r="DN90">
        <v>0</v>
      </c>
      <c r="DO90">
        <v>0</v>
      </c>
    </row>
    <row r="91" spans="2:133">
      <c r="B91" t="s">
        <v>474</v>
      </c>
      <c r="C91">
        <v>3</v>
      </c>
      <c r="D91" t="s">
        <v>472</v>
      </c>
      <c r="E91">
        <v>4</v>
      </c>
      <c r="F91" t="s">
        <v>639</v>
      </c>
      <c r="G91">
        <v>76</v>
      </c>
      <c r="H91" t="s">
        <v>580</v>
      </c>
      <c r="I91">
        <v>0</v>
      </c>
      <c r="J91">
        <v>1</v>
      </c>
      <c r="K91" t="s">
        <v>478</v>
      </c>
      <c r="L91" t="s">
        <v>479</v>
      </c>
      <c r="Y91">
        <v>96</v>
      </c>
      <c r="Z91">
        <v>75</v>
      </c>
      <c r="AA91">
        <v>93.86</v>
      </c>
      <c r="AB91">
        <v>75</v>
      </c>
      <c r="AC91">
        <v>29</v>
      </c>
      <c r="AF91">
        <v>75</v>
      </c>
      <c r="AG91">
        <v>52</v>
      </c>
      <c r="AH91">
        <v>63.062869999999997</v>
      </c>
      <c r="AI91">
        <v>75</v>
      </c>
      <c r="AJ91">
        <v>780</v>
      </c>
      <c r="AK91">
        <v>13260</v>
      </c>
      <c r="AL91">
        <v>19691.84</v>
      </c>
      <c r="AM91">
        <v>5460</v>
      </c>
      <c r="AN91">
        <v>25151.84</v>
      </c>
      <c r="AR91">
        <v>6217.04</v>
      </c>
      <c r="AS91">
        <v>887.74990000000003</v>
      </c>
      <c r="AT91">
        <v>388.26409999999998</v>
      </c>
      <c r="AU91" t="s">
        <v>476</v>
      </c>
      <c r="AV91">
        <v>0</v>
      </c>
      <c r="AW91">
        <v>0</v>
      </c>
      <c r="AX91">
        <v>0</v>
      </c>
      <c r="AY91">
        <v>1</v>
      </c>
      <c r="AZ91">
        <v>887.74990000000003</v>
      </c>
      <c r="BA91">
        <v>0</v>
      </c>
      <c r="BB91">
        <v>0</v>
      </c>
      <c r="BE91">
        <v>780</v>
      </c>
      <c r="BF91">
        <v>1508.107</v>
      </c>
      <c r="BG91">
        <v>1894.4639999999999</v>
      </c>
      <c r="BH91">
        <v>466.4</v>
      </c>
      <c r="BI91">
        <v>1565.8430000000001</v>
      </c>
      <c r="BJ91">
        <v>3563.576</v>
      </c>
      <c r="BK91">
        <v>30</v>
      </c>
      <c r="BL91">
        <v>1581.2370000000001</v>
      </c>
      <c r="BM91">
        <v>759</v>
      </c>
      <c r="BN91">
        <v>0</v>
      </c>
      <c r="BO91">
        <v>0</v>
      </c>
      <c r="BP91">
        <v>0</v>
      </c>
      <c r="BQ91">
        <v>0</v>
      </c>
      <c r="BR91">
        <v>0</v>
      </c>
      <c r="BS91">
        <v>1092</v>
      </c>
      <c r="BT91">
        <v>3912.3609999999999</v>
      </c>
      <c r="BU91">
        <v>1200</v>
      </c>
      <c r="BV91">
        <v>4299.2979999999998</v>
      </c>
      <c r="BW91">
        <v>0</v>
      </c>
      <c r="BX91">
        <v>0</v>
      </c>
      <c r="BY91">
        <v>26</v>
      </c>
      <c r="BZ91">
        <v>6825</v>
      </c>
      <c r="CA91">
        <v>5460</v>
      </c>
      <c r="CB91">
        <v>15036.66</v>
      </c>
      <c r="CC91">
        <v>5460</v>
      </c>
      <c r="CD91">
        <v>0</v>
      </c>
      <c r="CE91">
        <v>0</v>
      </c>
      <c r="CF91">
        <v>0</v>
      </c>
      <c r="CL91" t="s">
        <v>477</v>
      </c>
      <c r="CM91">
        <v>0</v>
      </c>
      <c r="CN91">
        <v>0</v>
      </c>
      <c r="CQ91" t="s">
        <v>477</v>
      </c>
      <c r="CR91">
        <v>0</v>
      </c>
      <c r="CS91">
        <v>0</v>
      </c>
      <c r="CU91">
        <v>0</v>
      </c>
      <c r="CV91">
        <v>0</v>
      </c>
      <c r="CW91" t="s">
        <v>477</v>
      </c>
      <c r="CX91">
        <v>0</v>
      </c>
      <c r="CY91">
        <v>0</v>
      </c>
      <c r="CZ91">
        <v>0</v>
      </c>
      <c r="DA91" t="s">
        <v>477</v>
      </c>
      <c r="DB91">
        <v>0</v>
      </c>
      <c r="DC91">
        <v>0</v>
      </c>
      <c r="DN91">
        <v>0</v>
      </c>
      <c r="DO91">
        <v>0</v>
      </c>
    </row>
    <row r="92" spans="2:133">
      <c r="B92" t="s">
        <v>474</v>
      </c>
      <c r="C92">
        <v>3</v>
      </c>
      <c r="D92" t="s">
        <v>472</v>
      </c>
      <c r="E92">
        <v>4</v>
      </c>
      <c r="F92" t="s">
        <v>639</v>
      </c>
      <c r="G92">
        <v>77</v>
      </c>
      <c r="H92" t="s">
        <v>581</v>
      </c>
      <c r="I92">
        <v>0</v>
      </c>
      <c r="J92">
        <v>1</v>
      </c>
      <c r="K92" t="s">
        <v>478</v>
      </c>
      <c r="L92" t="s">
        <v>482</v>
      </c>
      <c r="Y92">
        <v>96</v>
      </c>
      <c r="Z92">
        <v>75</v>
      </c>
      <c r="AA92">
        <v>95.358000000000004</v>
      </c>
      <c r="AB92">
        <v>75</v>
      </c>
      <c r="AC92">
        <v>29</v>
      </c>
      <c r="AF92">
        <v>75</v>
      </c>
      <c r="AG92">
        <v>52</v>
      </c>
      <c r="AH92">
        <v>63.062869999999997</v>
      </c>
      <c r="AI92">
        <v>75</v>
      </c>
      <c r="AJ92">
        <v>790</v>
      </c>
      <c r="AK92">
        <v>13430</v>
      </c>
      <c r="AL92">
        <v>19475.05</v>
      </c>
      <c r="AM92">
        <v>5460</v>
      </c>
      <c r="AN92">
        <v>24935.05</v>
      </c>
      <c r="AR92">
        <v>6566.0540000000001</v>
      </c>
      <c r="AS92">
        <v>877.97630000000004</v>
      </c>
      <c r="AT92">
        <v>410.06049999999999</v>
      </c>
      <c r="AU92" t="s">
        <v>476</v>
      </c>
      <c r="AV92">
        <v>0</v>
      </c>
      <c r="AW92">
        <v>0</v>
      </c>
      <c r="AX92">
        <v>0</v>
      </c>
      <c r="AY92">
        <v>1</v>
      </c>
      <c r="AZ92">
        <v>877.97630000000004</v>
      </c>
      <c r="BA92">
        <v>0</v>
      </c>
      <c r="BB92">
        <v>0</v>
      </c>
      <c r="BE92">
        <v>790</v>
      </c>
      <c r="BF92">
        <v>1567.2570000000001</v>
      </c>
      <c r="BG92">
        <v>1918.752</v>
      </c>
      <c r="BH92">
        <v>508.9</v>
      </c>
      <c r="BI92">
        <v>2047.646</v>
      </c>
      <c r="BJ92">
        <v>3888.3009999999999</v>
      </c>
      <c r="BK92">
        <v>30</v>
      </c>
      <c r="BL92">
        <v>773.32500000000005</v>
      </c>
      <c r="BM92">
        <v>759</v>
      </c>
      <c r="BN92">
        <v>0</v>
      </c>
      <c r="BO92">
        <v>0</v>
      </c>
      <c r="BP92">
        <v>0</v>
      </c>
      <c r="BQ92">
        <v>0</v>
      </c>
      <c r="BR92">
        <v>0</v>
      </c>
      <c r="BS92">
        <v>1106</v>
      </c>
      <c r="BT92">
        <v>3962.5189999999998</v>
      </c>
      <c r="BU92">
        <v>1200</v>
      </c>
      <c r="BV92">
        <v>4299.2979999999998</v>
      </c>
      <c r="BW92">
        <v>0</v>
      </c>
      <c r="BX92">
        <v>0</v>
      </c>
      <c r="BY92">
        <v>26</v>
      </c>
      <c r="BZ92">
        <v>6825</v>
      </c>
      <c r="CA92">
        <v>5460</v>
      </c>
      <c r="CB92">
        <v>15086.82</v>
      </c>
      <c r="CC92">
        <v>5460</v>
      </c>
      <c r="CD92">
        <v>0</v>
      </c>
      <c r="CE92">
        <v>0</v>
      </c>
      <c r="CF92">
        <v>0</v>
      </c>
      <c r="CL92" t="s">
        <v>477</v>
      </c>
      <c r="CM92">
        <v>0</v>
      </c>
      <c r="CN92">
        <v>0</v>
      </c>
      <c r="CQ92" t="s">
        <v>477</v>
      </c>
      <c r="CR92">
        <v>0</v>
      </c>
      <c r="CS92">
        <v>0</v>
      </c>
      <c r="CU92">
        <v>0</v>
      </c>
      <c r="CV92">
        <v>0</v>
      </c>
      <c r="CW92" t="s">
        <v>477</v>
      </c>
      <c r="CX92">
        <v>0</v>
      </c>
      <c r="CY92">
        <v>0</v>
      </c>
      <c r="CZ92">
        <v>0</v>
      </c>
      <c r="DA92" t="s">
        <v>477</v>
      </c>
      <c r="DB92">
        <v>0</v>
      </c>
      <c r="DC92">
        <v>0</v>
      </c>
      <c r="DN92">
        <v>0</v>
      </c>
      <c r="DO92">
        <v>0</v>
      </c>
    </row>
    <row r="93" spans="2:133">
      <c r="B93" t="s">
        <v>474</v>
      </c>
      <c r="C93">
        <v>3</v>
      </c>
      <c r="D93" t="s">
        <v>472</v>
      </c>
      <c r="E93">
        <v>4</v>
      </c>
      <c r="F93" t="s">
        <v>639</v>
      </c>
      <c r="G93">
        <v>78</v>
      </c>
      <c r="H93" t="s">
        <v>582</v>
      </c>
      <c r="I93">
        <v>0</v>
      </c>
      <c r="J93">
        <v>1</v>
      </c>
      <c r="K93" t="s">
        <v>478</v>
      </c>
      <c r="L93" t="s">
        <v>482</v>
      </c>
      <c r="Y93">
        <v>96</v>
      </c>
      <c r="Z93">
        <v>75</v>
      </c>
      <c r="AA93">
        <v>95.358000000000004</v>
      </c>
      <c r="AB93">
        <v>75</v>
      </c>
      <c r="AC93">
        <v>29</v>
      </c>
      <c r="AF93">
        <v>75</v>
      </c>
      <c r="AG93">
        <v>52</v>
      </c>
      <c r="AH93">
        <v>63.062869999999997</v>
      </c>
      <c r="AI93">
        <v>75</v>
      </c>
      <c r="AJ93">
        <v>780</v>
      </c>
      <c r="AK93">
        <v>13260</v>
      </c>
      <c r="AL93">
        <v>18963.82</v>
      </c>
      <c r="AM93">
        <v>5460</v>
      </c>
      <c r="AN93">
        <v>24423.82</v>
      </c>
      <c r="AR93">
        <v>5580.5770000000002</v>
      </c>
      <c r="AS93">
        <v>854.92930000000001</v>
      </c>
      <c r="AT93">
        <v>348.51589999999999</v>
      </c>
      <c r="AU93" t="s">
        <v>476</v>
      </c>
      <c r="AV93">
        <v>0</v>
      </c>
      <c r="AW93">
        <v>0</v>
      </c>
      <c r="AX93">
        <v>0</v>
      </c>
      <c r="AY93">
        <v>1</v>
      </c>
      <c r="AZ93">
        <v>854.92930000000001</v>
      </c>
      <c r="BA93">
        <v>0</v>
      </c>
      <c r="BB93">
        <v>0</v>
      </c>
      <c r="BE93">
        <v>780</v>
      </c>
      <c r="BF93">
        <v>1547.4179999999999</v>
      </c>
      <c r="BG93">
        <v>1894.4639999999999</v>
      </c>
      <c r="BH93">
        <v>383.1</v>
      </c>
      <c r="BI93">
        <v>1589.8820000000001</v>
      </c>
      <c r="BJ93">
        <v>2927.114</v>
      </c>
      <c r="BK93">
        <v>30</v>
      </c>
      <c r="BL93">
        <v>789.86249999999995</v>
      </c>
      <c r="BM93">
        <v>759</v>
      </c>
      <c r="BN93">
        <v>0</v>
      </c>
      <c r="BO93">
        <v>0</v>
      </c>
      <c r="BP93">
        <v>0</v>
      </c>
      <c r="BQ93">
        <v>0</v>
      </c>
      <c r="BR93">
        <v>0</v>
      </c>
      <c r="BS93">
        <v>1092</v>
      </c>
      <c r="BT93">
        <v>3912.3609999999999</v>
      </c>
      <c r="BU93">
        <v>1200</v>
      </c>
      <c r="BV93">
        <v>4299.2979999999998</v>
      </c>
      <c r="BW93">
        <v>0</v>
      </c>
      <c r="BX93">
        <v>0</v>
      </c>
      <c r="BY93">
        <v>26</v>
      </c>
      <c r="BZ93">
        <v>6825</v>
      </c>
      <c r="CA93">
        <v>5460</v>
      </c>
      <c r="CB93">
        <v>15036.66</v>
      </c>
      <c r="CC93">
        <v>5460</v>
      </c>
      <c r="CD93">
        <v>0</v>
      </c>
      <c r="CE93">
        <v>0</v>
      </c>
      <c r="CF93">
        <v>0</v>
      </c>
      <c r="CL93" t="s">
        <v>477</v>
      </c>
      <c r="CM93">
        <v>0</v>
      </c>
      <c r="CN93">
        <v>0</v>
      </c>
      <c r="CQ93" t="s">
        <v>477</v>
      </c>
      <c r="CR93">
        <v>0</v>
      </c>
      <c r="CS93">
        <v>0</v>
      </c>
      <c r="CU93">
        <v>0</v>
      </c>
      <c r="CV93">
        <v>0</v>
      </c>
      <c r="CW93" t="s">
        <v>477</v>
      </c>
      <c r="CX93">
        <v>0</v>
      </c>
      <c r="CY93">
        <v>0</v>
      </c>
      <c r="CZ93">
        <v>0</v>
      </c>
      <c r="DA93" t="s">
        <v>477</v>
      </c>
      <c r="DB93">
        <v>0</v>
      </c>
      <c r="DC93">
        <v>0</v>
      </c>
      <c r="DN93">
        <v>0</v>
      </c>
      <c r="DO93">
        <v>0</v>
      </c>
    </row>
    <row r="94" spans="2:133">
      <c r="B94" t="s">
        <v>474</v>
      </c>
      <c r="C94">
        <v>3</v>
      </c>
      <c r="D94" t="s">
        <v>472</v>
      </c>
      <c r="E94">
        <v>4</v>
      </c>
      <c r="F94" t="s">
        <v>639</v>
      </c>
      <c r="G94">
        <v>79</v>
      </c>
      <c r="H94" t="s">
        <v>583</v>
      </c>
      <c r="I94">
        <v>0</v>
      </c>
      <c r="J94">
        <v>1</v>
      </c>
      <c r="K94" t="s">
        <v>478</v>
      </c>
      <c r="L94" t="s">
        <v>479</v>
      </c>
      <c r="Y94">
        <v>96</v>
      </c>
      <c r="Z94">
        <v>75</v>
      </c>
      <c r="AA94">
        <v>93.86</v>
      </c>
      <c r="AB94">
        <v>75</v>
      </c>
      <c r="AC94">
        <v>29</v>
      </c>
      <c r="AF94">
        <v>75</v>
      </c>
      <c r="AG94">
        <v>52</v>
      </c>
      <c r="AH94">
        <v>63.062869999999997</v>
      </c>
      <c r="AI94">
        <v>75</v>
      </c>
      <c r="AJ94">
        <v>500</v>
      </c>
      <c r="AK94">
        <v>8500</v>
      </c>
      <c r="AL94">
        <v>22028.560000000001</v>
      </c>
      <c r="AM94">
        <v>5460</v>
      </c>
      <c r="AN94">
        <v>27488.560000000001</v>
      </c>
      <c r="AR94">
        <v>5514.9849999999997</v>
      </c>
      <c r="AS94">
        <v>993.09429999999998</v>
      </c>
      <c r="AT94">
        <v>344.4196</v>
      </c>
      <c r="AU94" t="s">
        <v>476</v>
      </c>
      <c r="AV94">
        <v>0</v>
      </c>
      <c r="AW94">
        <v>0</v>
      </c>
      <c r="AX94">
        <v>0</v>
      </c>
      <c r="AY94">
        <v>1</v>
      </c>
      <c r="AZ94">
        <v>993.09429999999998</v>
      </c>
      <c r="BA94">
        <v>0</v>
      </c>
      <c r="BB94">
        <v>0</v>
      </c>
      <c r="BE94">
        <v>500</v>
      </c>
      <c r="BF94">
        <v>966.73500000000001</v>
      </c>
      <c r="BG94">
        <v>1214.4000000000001</v>
      </c>
      <c r="BH94">
        <v>121.8</v>
      </c>
      <c r="BI94">
        <v>408.91860000000003</v>
      </c>
      <c r="BJ94">
        <v>930.62509999999997</v>
      </c>
      <c r="BK94">
        <v>133.19999999999999</v>
      </c>
      <c r="BL94">
        <v>7020.692</v>
      </c>
      <c r="BM94">
        <v>3369.96</v>
      </c>
      <c r="BN94">
        <v>0</v>
      </c>
      <c r="BO94">
        <v>0</v>
      </c>
      <c r="BP94">
        <v>0</v>
      </c>
      <c r="BQ94">
        <v>0</v>
      </c>
      <c r="BR94">
        <v>0</v>
      </c>
      <c r="BS94">
        <v>700</v>
      </c>
      <c r="BT94">
        <v>2507.924</v>
      </c>
      <c r="BU94">
        <v>1200</v>
      </c>
      <c r="BV94">
        <v>4299.2979999999998</v>
      </c>
      <c r="BW94">
        <v>0</v>
      </c>
      <c r="BX94">
        <v>0</v>
      </c>
      <c r="BY94">
        <v>26</v>
      </c>
      <c r="BZ94">
        <v>6825</v>
      </c>
      <c r="CA94">
        <v>5460</v>
      </c>
      <c r="CB94">
        <v>13632.22</v>
      </c>
      <c r="CC94">
        <v>5460</v>
      </c>
      <c r="CD94">
        <v>0</v>
      </c>
      <c r="CE94">
        <v>0</v>
      </c>
      <c r="CF94">
        <v>0</v>
      </c>
      <c r="CL94" t="s">
        <v>477</v>
      </c>
      <c r="CM94">
        <v>0</v>
      </c>
      <c r="CN94">
        <v>0</v>
      </c>
      <c r="CQ94" t="s">
        <v>477</v>
      </c>
      <c r="CR94">
        <v>0</v>
      </c>
      <c r="CS94">
        <v>0</v>
      </c>
      <c r="CU94">
        <v>0</v>
      </c>
      <c r="CV94">
        <v>0</v>
      </c>
      <c r="CW94" t="s">
        <v>477</v>
      </c>
      <c r="CX94">
        <v>0</v>
      </c>
      <c r="CY94">
        <v>0</v>
      </c>
      <c r="CZ94">
        <v>0</v>
      </c>
      <c r="DA94" t="s">
        <v>477</v>
      </c>
      <c r="DB94">
        <v>0</v>
      </c>
      <c r="DC94">
        <v>0</v>
      </c>
      <c r="DN94">
        <v>0</v>
      </c>
      <c r="DO94">
        <v>0</v>
      </c>
    </row>
    <row r="95" spans="2:133">
      <c r="B95" t="s">
        <v>474</v>
      </c>
      <c r="C95">
        <v>3</v>
      </c>
      <c r="D95" t="s">
        <v>472</v>
      </c>
      <c r="E95">
        <v>4</v>
      </c>
      <c r="F95" t="s">
        <v>639</v>
      </c>
      <c r="G95">
        <v>80</v>
      </c>
      <c r="H95" t="s">
        <v>584</v>
      </c>
      <c r="I95">
        <v>0</v>
      </c>
      <c r="J95">
        <v>1</v>
      </c>
      <c r="K95" t="s">
        <v>478</v>
      </c>
      <c r="L95" t="s">
        <v>482</v>
      </c>
      <c r="Y95">
        <v>96</v>
      </c>
      <c r="Z95">
        <v>75</v>
      </c>
      <c r="AA95">
        <v>95.358000000000004</v>
      </c>
      <c r="AB95">
        <v>75</v>
      </c>
      <c r="AC95">
        <v>29</v>
      </c>
      <c r="AF95">
        <v>75</v>
      </c>
      <c r="AG95">
        <v>52</v>
      </c>
      <c r="AH95">
        <v>63.062869999999997</v>
      </c>
      <c r="AI95">
        <v>75</v>
      </c>
      <c r="AJ95">
        <v>540</v>
      </c>
      <c r="AK95">
        <v>9180</v>
      </c>
      <c r="AL95">
        <v>5714.5309999999999</v>
      </c>
      <c r="AM95">
        <v>0</v>
      </c>
      <c r="AN95">
        <v>5714.5309999999999</v>
      </c>
      <c r="AR95">
        <v>1311.5519999999999</v>
      </c>
      <c r="AS95">
        <v>324</v>
      </c>
      <c r="AT95">
        <v>81.908519999999996</v>
      </c>
      <c r="AU95" t="s">
        <v>476</v>
      </c>
      <c r="AV95">
        <v>0</v>
      </c>
      <c r="AW95">
        <v>0</v>
      </c>
      <c r="AX95">
        <v>0</v>
      </c>
      <c r="AY95">
        <v>1</v>
      </c>
      <c r="AZ95">
        <v>324</v>
      </c>
      <c r="BA95">
        <v>0</v>
      </c>
      <c r="BB95">
        <v>0</v>
      </c>
      <c r="BE95">
        <v>540</v>
      </c>
      <c r="BF95">
        <v>1071.29</v>
      </c>
      <c r="BG95">
        <v>1311.5519999999999</v>
      </c>
      <c r="BH95">
        <v>0</v>
      </c>
      <c r="BI95">
        <v>0</v>
      </c>
      <c r="BJ95">
        <v>0</v>
      </c>
      <c r="BK95">
        <v>0</v>
      </c>
      <c r="BL95">
        <v>0</v>
      </c>
      <c r="BM95">
        <v>0</v>
      </c>
      <c r="BN95">
        <v>0</v>
      </c>
      <c r="BO95">
        <v>0</v>
      </c>
      <c r="BP95">
        <v>0</v>
      </c>
      <c r="BQ95">
        <v>0</v>
      </c>
      <c r="BR95">
        <v>0</v>
      </c>
      <c r="BS95">
        <v>756</v>
      </c>
      <c r="BT95">
        <v>2708.5569999999998</v>
      </c>
      <c r="BU95">
        <v>540</v>
      </c>
      <c r="BV95">
        <v>1934.684</v>
      </c>
      <c r="BW95">
        <v>0</v>
      </c>
      <c r="BX95">
        <v>0</v>
      </c>
      <c r="BY95">
        <v>0</v>
      </c>
      <c r="BZ95">
        <v>0</v>
      </c>
      <c r="CA95">
        <v>0</v>
      </c>
      <c r="CB95">
        <v>4643.241</v>
      </c>
      <c r="CC95">
        <v>0</v>
      </c>
      <c r="CD95">
        <v>0</v>
      </c>
      <c r="CE95">
        <v>0</v>
      </c>
      <c r="CF95">
        <v>0</v>
      </c>
      <c r="CL95" t="s">
        <v>477</v>
      </c>
      <c r="CM95">
        <v>0</v>
      </c>
      <c r="CN95">
        <v>0</v>
      </c>
      <c r="CQ95" t="s">
        <v>477</v>
      </c>
      <c r="CR95">
        <v>0</v>
      </c>
      <c r="CS95">
        <v>0</v>
      </c>
      <c r="CU95">
        <v>0</v>
      </c>
      <c r="CV95">
        <v>0</v>
      </c>
      <c r="CW95" t="s">
        <v>477</v>
      </c>
      <c r="CX95">
        <v>0</v>
      </c>
      <c r="CY95">
        <v>0</v>
      </c>
      <c r="CZ95">
        <v>0</v>
      </c>
      <c r="DA95" t="s">
        <v>477</v>
      </c>
      <c r="DB95">
        <v>0</v>
      </c>
      <c r="DC95">
        <v>0</v>
      </c>
      <c r="DN95">
        <v>0</v>
      </c>
      <c r="DO95">
        <v>0</v>
      </c>
    </row>
    <row r="96" spans="2:133">
      <c r="B96" t="s">
        <v>474</v>
      </c>
      <c r="C96">
        <v>3</v>
      </c>
      <c r="D96" t="s">
        <v>472</v>
      </c>
      <c r="E96">
        <v>4</v>
      </c>
      <c r="F96" t="s">
        <v>639</v>
      </c>
      <c r="G96">
        <v>81</v>
      </c>
      <c r="H96" t="s">
        <v>585</v>
      </c>
      <c r="I96">
        <v>0</v>
      </c>
      <c r="J96">
        <v>1</v>
      </c>
      <c r="K96" t="s">
        <v>478</v>
      </c>
      <c r="L96" t="s">
        <v>479</v>
      </c>
      <c r="Y96">
        <v>96</v>
      </c>
      <c r="Z96">
        <v>75</v>
      </c>
      <c r="AA96">
        <v>93.86</v>
      </c>
      <c r="AB96">
        <v>75</v>
      </c>
      <c r="AC96">
        <v>29</v>
      </c>
      <c r="AF96">
        <v>75</v>
      </c>
      <c r="AG96">
        <v>52</v>
      </c>
      <c r="AH96">
        <v>63.062869999999997</v>
      </c>
      <c r="AI96">
        <v>75</v>
      </c>
      <c r="AJ96">
        <v>780</v>
      </c>
      <c r="AK96">
        <v>13260</v>
      </c>
      <c r="AL96">
        <v>19412.18</v>
      </c>
      <c r="AM96">
        <v>5460</v>
      </c>
      <c r="AN96">
        <v>24872.18</v>
      </c>
      <c r="AR96">
        <v>5580.5770000000002</v>
      </c>
      <c r="AS96">
        <v>875.1422</v>
      </c>
      <c r="AT96">
        <v>348.51589999999999</v>
      </c>
      <c r="AU96" t="s">
        <v>476</v>
      </c>
      <c r="AV96">
        <v>0</v>
      </c>
      <c r="AW96">
        <v>0</v>
      </c>
      <c r="AX96">
        <v>0</v>
      </c>
      <c r="AY96">
        <v>1</v>
      </c>
      <c r="AZ96">
        <v>875.1422</v>
      </c>
      <c r="BA96">
        <v>0</v>
      </c>
      <c r="BB96">
        <v>0</v>
      </c>
      <c r="BE96">
        <v>780</v>
      </c>
      <c r="BF96">
        <v>1508.107</v>
      </c>
      <c r="BG96">
        <v>1894.4639999999999</v>
      </c>
      <c r="BH96">
        <v>383.1</v>
      </c>
      <c r="BI96">
        <v>1286.18</v>
      </c>
      <c r="BJ96">
        <v>2927.114</v>
      </c>
      <c r="BK96">
        <v>30</v>
      </c>
      <c r="BL96">
        <v>1581.2370000000001</v>
      </c>
      <c r="BM96">
        <v>759</v>
      </c>
      <c r="BN96">
        <v>0</v>
      </c>
      <c r="BO96">
        <v>0</v>
      </c>
      <c r="BP96">
        <v>0</v>
      </c>
      <c r="BQ96">
        <v>0</v>
      </c>
      <c r="BR96">
        <v>0</v>
      </c>
      <c r="BS96">
        <v>1092</v>
      </c>
      <c r="BT96">
        <v>3912.3609999999999</v>
      </c>
      <c r="BU96">
        <v>1200</v>
      </c>
      <c r="BV96">
        <v>4299.2979999999998</v>
      </c>
      <c r="BW96">
        <v>0</v>
      </c>
      <c r="BX96">
        <v>0</v>
      </c>
      <c r="BY96">
        <v>26</v>
      </c>
      <c r="BZ96">
        <v>6825</v>
      </c>
      <c r="CA96">
        <v>5460</v>
      </c>
      <c r="CB96">
        <v>15036.66</v>
      </c>
      <c r="CC96">
        <v>5460</v>
      </c>
      <c r="CD96">
        <v>0</v>
      </c>
      <c r="CE96">
        <v>0</v>
      </c>
      <c r="CF96">
        <v>0</v>
      </c>
      <c r="CL96" t="s">
        <v>477</v>
      </c>
      <c r="CM96">
        <v>0</v>
      </c>
      <c r="CN96">
        <v>0</v>
      </c>
      <c r="CQ96" t="s">
        <v>477</v>
      </c>
      <c r="CR96">
        <v>0</v>
      </c>
      <c r="CS96">
        <v>0</v>
      </c>
      <c r="CU96">
        <v>0</v>
      </c>
      <c r="CV96">
        <v>0</v>
      </c>
      <c r="CW96" t="s">
        <v>477</v>
      </c>
      <c r="CX96">
        <v>0</v>
      </c>
      <c r="CY96">
        <v>0</v>
      </c>
      <c r="CZ96">
        <v>0</v>
      </c>
      <c r="DA96" t="s">
        <v>477</v>
      </c>
      <c r="DB96">
        <v>0</v>
      </c>
      <c r="DC96">
        <v>0</v>
      </c>
      <c r="DN96">
        <v>0</v>
      </c>
      <c r="DO96">
        <v>0</v>
      </c>
    </row>
    <row r="97" spans="2:133">
      <c r="B97" t="s">
        <v>474</v>
      </c>
      <c r="C97">
        <v>3</v>
      </c>
      <c r="D97" t="s">
        <v>472</v>
      </c>
      <c r="E97">
        <v>4</v>
      </c>
      <c r="F97" t="s">
        <v>639</v>
      </c>
      <c r="G97">
        <v>82</v>
      </c>
      <c r="H97" t="s">
        <v>586</v>
      </c>
      <c r="I97">
        <v>0</v>
      </c>
      <c r="J97">
        <v>1</v>
      </c>
      <c r="K97" t="s">
        <v>478</v>
      </c>
      <c r="L97" t="s">
        <v>479</v>
      </c>
      <c r="Y97">
        <v>96</v>
      </c>
      <c r="Z97">
        <v>75</v>
      </c>
      <c r="AA97">
        <v>93.86</v>
      </c>
      <c r="AB97">
        <v>75</v>
      </c>
      <c r="AC97">
        <v>29</v>
      </c>
      <c r="AF97">
        <v>75</v>
      </c>
      <c r="AG97">
        <v>52</v>
      </c>
      <c r="AH97">
        <v>63.062869999999997</v>
      </c>
      <c r="AI97">
        <v>75</v>
      </c>
      <c r="AJ97">
        <v>780</v>
      </c>
      <c r="AK97">
        <v>13260</v>
      </c>
      <c r="AL97">
        <v>20196.599999999999</v>
      </c>
      <c r="AM97">
        <v>5460</v>
      </c>
      <c r="AN97">
        <v>25656.6</v>
      </c>
      <c r="AR97">
        <v>10256.629999999999</v>
      </c>
      <c r="AS97">
        <v>910.50549999999998</v>
      </c>
      <c r="AT97">
        <v>640.54259999999999</v>
      </c>
      <c r="AU97" t="s">
        <v>476</v>
      </c>
      <c r="AV97">
        <v>0</v>
      </c>
      <c r="AW97">
        <v>0</v>
      </c>
      <c r="AX97">
        <v>0</v>
      </c>
      <c r="AY97">
        <v>1</v>
      </c>
      <c r="AZ97">
        <v>910.50549999999998</v>
      </c>
      <c r="BA97">
        <v>0</v>
      </c>
      <c r="BB97">
        <v>0</v>
      </c>
      <c r="BE97">
        <v>780</v>
      </c>
      <c r="BF97">
        <v>1508.107</v>
      </c>
      <c r="BG97">
        <v>1894.4639999999999</v>
      </c>
      <c r="BH97">
        <v>995.1</v>
      </c>
      <c r="BI97">
        <v>2939.8090000000002</v>
      </c>
      <c r="BJ97">
        <v>7603.1610000000001</v>
      </c>
      <c r="BK97">
        <v>30</v>
      </c>
      <c r="BL97">
        <v>712.02589999999998</v>
      </c>
      <c r="BM97">
        <v>759</v>
      </c>
      <c r="BN97">
        <v>0</v>
      </c>
      <c r="BO97">
        <v>0</v>
      </c>
      <c r="BP97">
        <v>0</v>
      </c>
      <c r="BQ97">
        <v>0</v>
      </c>
      <c r="BR97">
        <v>0</v>
      </c>
      <c r="BS97">
        <v>1092</v>
      </c>
      <c r="BT97">
        <v>3912.3609999999999</v>
      </c>
      <c r="BU97">
        <v>1200</v>
      </c>
      <c r="BV97">
        <v>4299.2979999999998</v>
      </c>
      <c r="BW97">
        <v>0</v>
      </c>
      <c r="BX97">
        <v>0</v>
      </c>
      <c r="BY97">
        <v>26</v>
      </c>
      <c r="BZ97">
        <v>6825</v>
      </c>
      <c r="CA97">
        <v>5460</v>
      </c>
      <c r="CB97">
        <v>15036.66</v>
      </c>
      <c r="CC97">
        <v>5460</v>
      </c>
      <c r="CD97">
        <v>0</v>
      </c>
      <c r="CE97">
        <v>0</v>
      </c>
      <c r="CF97">
        <v>0</v>
      </c>
      <c r="CL97" t="s">
        <v>477</v>
      </c>
      <c r="CM97">
        <v>0</v>
      </c>
      <c r="CN97">
        <v>0</v>
      </c>
      <c r="CQ97" t="s">
        <v>477</v>
      </c>
      <c r="CR97">
        <v>0</v>
      </c>
      <c r="CS97">
        <v>0</v>
      </c>
      <c r="CU97">
        <v>0</v>
      </c>
      <c r="CV97">
        <v>0</v>
      </c>
      <c r="CW97" t="s">
        <v>477</v>
      </c>
      <c r="CX97">
        <v>0</v>
      </c>
      <c r="CY97">
        <v>0</v>
      </c>
      <c r="CZ97">
        <v>0</v>
      </c>
      <c r="DA97" t="s">
        <v>477</v>
      </c>
      <c r="DB97">
        <v>0</v>
      </c>
      <c r="DC97">
        <v>0</v>
      </c>
      <c r="DN97">
        <v>0</v>
      </c>
      <c r="DO97">
        <v>0</v>
      </c>
    </row>
    <row r="98" spans="2:133">
      <c r="B98" t="s">
        <v>474</v>
      </c>
      <c r="C98">
        <v>3</v>
      </c>
      <c r="D98" t="s">
        <v>472</v>
      </c>
      <c r="E98">
        <v>4</v>
      </c>
      <c r="F98" t="s">
        <v>639</v>
      </c>
      <c r="G98">
        <v>83</v>
      </c>
      <c r="H98" t="s">
        <v>587</v>
      </c>
      <c r="I98">
        <v>0</v>
      </c>
      <c r="J98">
        <v>1</v>
      </c>
      <c r="K98" t="s">
        <v>478</v>
      </c>
      <c r="L98" t="s">
        <v>482</v>
      </c>
      <c r="Y98">
        <v>96</v>
      </c>
      <c r="Z98">
        <v>75</v>
      </c>
      <c r="AA98">
        <v>95.358000000000004</v>
      </c>
      <c r="AB98">
        <v>75</v>
      </c>
      <c r="AC98">
        <v>29</v>
      </c>
      <c r="AF98">
        <v>75</v>
      </c>
      <c r="AG98">
        <v>52</v>
      </c>
      <c r="AH98">
        <v>63.062869999999997</v>
      </c>
      <c r="AI98">
        <v>75</v>
      </c>
      <c r="AJ98">
        <v>370</v>
      </c>
      <c r="AK98">
        <v>6290</v>
      </c>
      <c r="AL98">
        <v>5347.0519999999997</v>
      </c>
      <c r="AM98">
        <v>0</v>
      </c>
      <c r="AN98">
        <v>5347.0519999999997</v>
      </c>
      <c r="AR98">
        <v>3209.2539999999999</v>
      </c>
      <c r="AS98">
        <v>241.0564</v>
      </c>
      <c r="AT98">
        <v>200.423</v>
      </c>
      <c r="AU98" t="s">
        <v>476</v>
      </c>
      <c r="AV98">
        <v>0</v>
      </c>
      <c r="AW98">
        <v>0</v>
      </c>
      <c r="AX98">
        <v>0</v>
      </c>
      <c r="AY98">
        <v>1</v>
      </c>
      <c r="AZ98">
        <v>241.0564</v>
      </c>
      <c r="BA98">
        <v>0</v>
      </c>
      <c r="BB98">
        <v>0</v>
      </c>
      <c r="BE98">
        <v>370</v>
      </c>
      <c r="BF98">
        <v>734.03189999999995</v>
      </c>
      <c r="BG98">
        <v>898.65610000000004</v>
      </c>
      <c r="BH98">
        <v>64</v>
      </c>
      <c r="BI98">
        <v>114.66330000000001</v>
      </c>
      <c r="BJ98">
        <v>488.9984</v>
      </c>
      <c r="BK98">
        <v>72</v>
      </c>
      <c r="BL98">
        <v>1316.876</v>
      </c>
      <c r="BM98">
        <v>1821.6</v>
      </c>
      <c r="BN98">
        <v>0</v>
      </c>
      <c r="BO98">
        <v>0</v>
      </c>
      <c r="BP98">
        <v>0</v>
      </c>
      <c r="BQ98">
        <v>0</v>
      </c>
      <c r="BR98">
        <v>0</v>
      </c>
      <c r="BS98">
        <v>518</v>
      </c>
      <c r="BT98">
        <v>1855.864</v>
      </c>
      <c r="BU98">
        <v>370</v>
      </c>
      <c r="BV98">
        <v>1325.617</v>
      </c>
      <c r="BW98">
        <v>0</v>
      </c>
      <c r="BX98">
        <v>0</v>
      </c>
      <c r="BY98">
        <v>0</v>
      </c>
      <c r="BZ98">
        <v>0</v>
      </c>
      <c r="CA98">
        <v>0</v>
      </c>
      <c r="CB98">
        <v>3181.48</v>
      </c>
      <c r="CC98">
        <v>0</v>
      </c>
      <c r="CD98">
        <v>0</v>
      </c>
      <c r="CE98">
        <v>0</v>
      </c>
      <c r="CF98">
        <v>0</v>
      </c>
      <c r="CL98" t="s">
        <v>477</v>
      </c>
      <c r="CM98">
        <v>0</v>
      </c>
      <c r="CN98">
        <v>0</v>
      </c>
      <c r="CQ98" t="s">
        <v>477</v>
      </c>
      <c r="CR98">
        <v>0</v>
      </c>
      <c r="CS98">
        <v>0</v>
      </c>
      <c r="CU98">
        <v>0</v>
      </c>
      <c r="CV98">
        <v>0</v>
      </c>
      <c r="CW98" t="s">
        <v>477</v>
      </c>
      <c r="CX98">
        <v>0</v>
      </c>
      <c r="CY98">
        <v>0</v>
      </c>
      <c r="CZ98">
        <v>0</v>
      </c>
      <c r="DA98" t="s">
        <v>477</v>
      </c>
      <c r="DB98">
        <v>0</v>
      </c>
      <c r="DC98">
        <v>0</v>
      </c>
      <c r="DN98">
        <v>0</v>
      </c>
      <c r="DO98">
        <v>0</v>
      </c>
    </row>
    <row r="99" spans="2:133">
      <c r="B99" t="s">
        <v>474</v>
      </c>
      <c r="C99">
        <v>3</v>
      </c>
      <c r="D99" t="s">
        <v>472</v>
      </c>
      <c r="E99">
        <v>4</v>
      </c>
      <c r="F99" t="s">
        <v>639</v>
      </c>
      <c r="G99">
        <v>84</v>
      </c>
      <c r="H99" t="s">
        <v>588</v>
      </c>
      <c r="I99">
        <v>0</v>
      </c>
      <c r="J99">
        <v>1</v>
      </c>
      <c r="K99" t="s">
        <v>478</v>
      </c>
      <c r="L99" t="s">
        <v>479</v>
      </c>
      <c r="Y99">
        <v>96</v>
      </c>
      <c r="Z99">
        <v>75</v>
      </c>
      <c r="AA99">
        <v>93.86</v>
      </c>
      <c r="AB99">
        <v>75</v>
      </c>
      <c r="AC99">
        <v>29</v>
      </c>
      <c r="AF99">
        <v>75</v>
      </c>
      <c r="AG99">
        <v>52</v>
      </c>
      <c r="AH99">
        <v>63.062869999999997</v>
      </c>
      <c r="AI99">
        <v>75</v>
      </c>
      <c r="AJ99">
        <v>780</v>
      </c>
      <c r="AK99">
        <v>13260</v>
      </c>
      <c r="AL99">
        <v>21490.5</v>
      </c>
      <c r="AM99">
        <v>5460</v>
      </c>
      <c r="AN99">
        <v>26950.5</v>
      </c>
      <c r="AR99">
        <v>11555.53</v>
      </c>
      <c r="AS99">
        <v>968.83699999999999</v>
      </c>
      <c r="AT99">
        <v>721.66110000000003</v>
      </c>
      <c r="AU99" t="s">
        <v>476</v>
      </c>
      <c r="AV99">
        <v>0</v>
      </c>
      <c r="AW99">
        <v>0</v>
      </c>
      <c r="AX99">
        <v>0</v>
      </c>
      <c r="AY99">
        <v>1</v>
      </c>
      <c r="AZ99">
        <v>968.83699999999999</v>
      </c>
      <c r="BA99">
        <v>0</v>
      </c>
      <c r="BB99">
        <v>0</v>
      </c>
      <c r="BE99">
        <v>780</v>
      </c>
      <c r="BF99">
        <v>1508.107</v>
      </c>
      <c r="BG99">
        <v>1894.4639999999999</v>
      </c>
      <c r="BH99">
        <v>1165.0999999999999</v>
      </c>
      <c r="BI99">
        <v>3364.4969999999998</v>
      </c>
      <c r="BJ99">
        <v>8902.0630000000001</v>
      </c>
      <c r="BK99">
        <v>30</v>
      </c>
      <c r="BL99">
        <v>1581.2370000000001</v>
      </c>
      <c r="BM99">
        <v>759</v>
      </c>
      <c r="BN99">
        <v>0</v>
      </c>
      <c r="BO99">
        <v>0</v>
      </c>
      <c r="BP99">
        <v>0</v>
      </c>
      <c r="BQ99">
        <v>0</v>
      </c>
      <c r="BR99">
        <v>0</v>
      </c>
      <c r="BS99">
        <v>1092</v>
      </c>
      <c r="BT99">
        <v>3912.3609999999999</v>
      </c>
      <c r="BU99">
        <v>1200</v>
      </c>
      <c r="BV99">
        <v>4299.2979999999998</v>
      </c>
      <c r="BW99">
        <v>0</v>
      </c>
      <c r="BX99">
        <v>0</v>
      </c>
      <c r="BY99">
        <v>26</v>
      </c>
      <c r="BZ99">
        <v>6825</v>
      </c>
      <c r="CA99">
        <v>5460</v>
      </c>
      <c r="CB99">
        <v>15036.66</v>
      </c>
      <c r="CC99">
        <v>5460</v>
      </c>
      <c r="CD99">
        <v>0</v>
      </c>
      <c r="CE99">
        <v>0</v>
      </c>
      <c r="CF99">
        <v>0</v>
      </c>
      <c r="CL99" t="s">
        <v>477</v>
      </c>
      <c r="CM99">
        <v>0</v>
      </c>
      <c r="CN99">
        <v>0</v>
      </c>
      <c r="CQ99" t="s">
        <v>477</v>
      </c>
      <c r="CR99">
        <v>0</v>
      </c>
      <c r="CS99">
        <v>0</v>
      </c>
      <c r="CU99">
        <v>0</v>
      </c>
      <c r="CV99">
        <v>0</v>
      </c>
      <c r="CW99" t="s">
        <v>477</v>
      </c>
      <c r="CX99">
        <v>0</v>
      </c>
      <c r="CY99">
        <v>0</v>
      </c>
      <c r="CZ99">
        <v>0</v>
      </c>
      <c r="DA99" t="s">
        <v>477</v>
      </c>
      <c r="DB99">
        <v>0</v>
      </c>
      <c r="DC99">
        <v>0</v>
      </c>
      <c r="DN99">
        <v>0</v>
      </c>
      <c r="DO99">
        <v>0</v>
      </c>
    </row>
    <row r="100" spans="2:133">
      <c r="B100" t="s">
        <v>474</v>
      </c>
      <c r="C100">
        <v>3</v>
      </c>
      <c r="D100" t="s">
        <v>472</v>
      </c>
      <c r="E100">
        <v>4</v>
      </c>
      <c r="F100" t="s">
        <v>639</v>
      </c>
      <c r="G100">
        <v>121</v>
      </c>
      <c r="H100" t="s">
        <v>624</v>
      </c>
      <c r="I100">
        <v>0</v>
      </c>
      <c r="J100">
        <v>1</v>
      </c>
      <c r="K100" t="s">
        <v>478</v>
      </c>
      <c r="L100" t="s">
        <v>482</v>
      </c>
      <c r="Y100">
        <v>96</v>
      </c>
      <c r="Z100">
        <v>75</v>
      </c>
      <c r="AA100">
        <v>95.358000000000004</v>
      </c>
      <c r="AB100">
        <v>75</v>
      </c>
      <c r="AC100">
        <v>29</v>
      </c>
      <c r="AF100">
        <v>75</v>
      </c>
      <c r="AG100">
        <v>52</v>
      </c>
      <c r="AH100">
        <v>63.062869999999997</v>
      </c>
      <c r="AI100">
        <v>75</v>
      </c>
      <c r="AJ100">
        <v>330</v>
      </c>
      <c r="AK100">
        <v>5610</v>
      </c>
      <c r="AL100">
        <v>4095.3290000000002</v>
      </c>
      <c r="AM100">
        <v>1050</v>
      </c>
      <c r="AN100">
        <v>5145.3289999999997</v>
      </c>
      <c r="AR100">
        <v>801.50400000000002</v>
      </c>
      <c r="AS100">
        <v>264</v>
      </c>
      <c r="AT100">
        <v>50.055199999999999</v>
      </c>
      <c r="AU100" t="s">
        <v>476</v>
      </c>
      <c r="AV100">
        <v>0</v>
      </c>
      <c r="AW100">
        <v>0</v>
      </c>
      <c r="AX100">
        <v>0</v>
      </c>
      <c r="AY100">
        <v>1</v>
      </c>
      <c r="AZ100">
        <v>264</v>
      </c>
      <c r="BA100">
        <v>0</v>
      </c>
      <c r="BB100">
        <v>0</v>
      </c>
      <c r="BE100">
        <v>330</v>
      </c>
      <c r="BF100">
        <v>654.6771</v>
      </c>
      <c r="BG100">
        <v>801.50400000000002</v>
      </c>
      <c r="BH100">
        <v>0</v>
      </c>
      <c r="BI100">
        <v>0</v>
      </c>
      <c r="BJ100">
        <v>0</v>
      </c>
      <c r="BK100">
        <v>0</v>
      </c>
      <c r="BL100">
        <v>0</v>
      </c>
      <c r="BM100">
        <v>0</v>
      </c>
      <c r="BN100">
        <v>0</v>
      </c>
      <c r="BO100">
        <v>0</v>
      </c>
      <c r="BP100">
        <v>0</v>
      </c>
      <c r="BQ100">
        <v>0</v>
      </c>
      <c r="BR100">
        <v>0</v>
      </c>
      <c r="BS100">
        <v>264</v>
      </c>
      <c r="BT100">
        <v>945.84550000000002</v>
      </c>
      <c r="BU100">
        <v>330</v>
      </c>
      <c r="BV100">
        <v>1182.307</v>
      </c>
      <c r="BW100">
        <v>0</v>
      </c>
      <c r="BX100">
        <v>0</v>
      </c>
      <c r="BY100">
        <v>5</v>
      </c>
      <c r="BZ100">
        <v>1312.5</v>
      </c>
      <c r="CA100">
        <v>1050</v>
      </c>
      <c r="CB100">
        <v>3440.652</v>
      </c>
      <c r="CC100">
        <v>1050</v>
      </c>
      <c r="CD100">
        <v>0</v>
      </c>
      <c r="CE100">
        <v>0</v>
      </c>
      <c r="CF100">
        <v>0</v>
      </c>
      <c r="CL100" t="s">
        <v>477</v>
      </c>
      <c r="CM100">
        <v>0</v>
      </c>
      <c r="CN100">
        <v>0</v>
      </c>
      <c r="CQ100" t="s">
        <v>477</v>
      </c>
      <c r="CR100">
        <v>0</v>
      </c>
      <c r="CS100">
        <v>0</v>
      </c>
      <c r="CU100">
        <v>0</v>
      </c>
      <c r="CV100">
        <v>0</v>
      </c>
      <c r="CW100" t="s">
        <v>477</v>
      </c>
      <c r="CX100">
        <v>0</v>
      </c>
      <c r="CY100">
        <v>0</v>
      </c>
      <c r="CZ100">
        <v>0</v>
      </c>
      <c r="DA100" t="s">
        <v>477</v>
      </c>
      <c r="DB100">
        <v>0</v>
      </c>
      <c r="DC100">
        <v>0</v>
      </c>
      <c r="DN100">
        <v>0</v>
      </c>
      <c r="DO100">
        <v>0</v>
      </c>
    </row>
    <row r="101" spans="2:133">
      <c r="B101" t="s">
        <v>474</v>
      </c>
      <c r="C101">
        <v>3</v>
      </c>
      <c r="D101" t="s">
        <v>472</v>
      </c>
      <c r="E101">
        <v>4</v>
      </c>
      <c r="F101" t="s">
        <v>639</v>
      </c>
      <c r="G101">
        <v>122</v>
      </c>
      <c r="H101" t="s">
        <v>625</v>
      </c>
      <c r="I101">
        <v>0</v>
      </c>
      <c r="J101">
        <v>1</v>
      </c>
      <c r="K101" t="s">
        <v>478</v>
      </c>
      <c r="L101" t="s">
        <v>482</v>
      </c>
      <c r="Y101">
        <v>96</v>
      </c>
      <c r="Z101">
        <v>75</v>
      </c>
      <c r="AA101">
        <v>95.358000000000004</v>
      </c>
      <c r="AB101">
        <v>75</v>
      </c>
      <c r="AC101">
        <v>29</v>
      </c>
      <c r="AF101">
        <v>75</v>
      </c>
      <c r="AG101">
        <v>52</v>
      </c>
      <c r="AH101">
        <v>63.062869999999997</v>
      </c>
      <c r="AI101">
        <v>75</v>
      </c>
      <c r="AJ101">
        <v>640</v>
      </c>
      <c r="AK101">
        <v>10880</v>
      </c>
      <c r="AL101">
        <v>4709.1139999999996</v>
      </c>
      <c r="AM101">
        <v>0</v>
      </c>
      <c r="AN101">
        <v>4709.1139999999996</v>
      </c>
      <c r="AR101">
        <v>1554.432</v>
      </c>
      <c r="AS101">
        <v>384</v>
      </c>
      <c r="AT101">
        <v>97.076759999999993</v>
      </c>
      <c r="AU101" t="s">
        <v>476</v>
      </c>
      <c r="AV101">
        <v>0</v>
      </c>
      <c r="AW101">
        <v>0</v>
      </c>
      <c r="AX101">
        <v>0</v>
      </c>
      <c r="AY101">
        <v>1</v>
      </c>
      <c r="AZ101">
        <v>384</v>
      </c>
      <c r="BA101">
        <v>0</v>
      </c>
      <c r="BB101">
        <v>0</v>
      </c>
      <c r="BE101">
        <v>640</v>
      </c>
      <c r="BF101">
        <v>1269.6769999999999</v>
      </c>
      <c r="BG101">
        <v>1554.432</v>
      </c>
      <c r="BH101">
        <v>0</v>
      </c>
      <c r="BI101">
        <v>0</v>
      </c>
      <c r="BJ101">
        <v>0</v>
      </c>
      <c r="BK101">
        <v>0</v>
      </c>
      <c r="BL101">
        <v>0</v>
      </c>
      <c r="BM101">
        <v>0</v>
      </c>
      <c r="BN101">
        <v>0</v>
      </c>
      <c r="BO101">
        <v>0</v>
      </c>
      <c r="BP101">
        <v>0</v>
      </c>
      <c r="BQ101">
        <v>0</v>
      </c>
      <c r="BR101">
        <v>0</v>
      </c>
      <c r="BS101">
        <v>320</v>
      </c>
      <c r="BT101">
        <v>1146.479</v>
      </c>
      <c r="BU101">
        <v>640</v>
      </c>
      <c r="BV101">
        <v>2292.9589999999998</v>
      </c>
      <c r="BW101">
        <v>0</v>
      </c>
      <c r="BX101">
        <v>0</v>
      </c>
      <c r="BY101">
        <v>0</v>
      </c>
      <c r="BZ101">
        <v>0</v>
      </c>
      <c r="CA101">
        <v>0</v>
      </c>
      <c r="CB101">
        <v>3439.4380000000001</v>
      </c>
      <c r="CC101">
        <v>0</v>
      </c>
      <c r="CD101">
        <v>0</v>
      </c>
      <c r="CE101">
        <v>0</v>
      </c>
      <c r="CF101">
        <v>0</v>
      </c>
      <c r="CL101" t="s">
        <v>477</v>
      </c>
      <c r="CM101">
        <v>0</v>
      </c>
      <c r="CN101">
        <v>0</v>
      </c>
      <c r="CQ101" t="s">
        <v>477</v>
      </c>
      <c r="CR101">
        <v>0</v>
      </c>
      <c r="CS101">
        <v>0</v>
      </c>
      <c r="CU101">
        <v>0</v>
      </c>
      <c r="CV101">
        <v>0</v>
      </c>
      <c r="CW101" t="s">
        <v>477</v>
      </c>
      <c r="CX101">
        <v>0</v>
      </c>
      <c r="CY101">
        <v>0</v>
      </c>
      <c r="CZ101">
        <v>0</v>
      </c>
      <c r="DA101" t="s">
        <v>477</v>
      </c>
      <c r="DB101">
        <v>0</v>
      </c>
      <c r="DC101">
        <v>0</v>
      </c>
      <c r="DN101">
        <v>0</v>
      </c>
      <c r="DO101">
        <v>0</v>
      </c>
    </row>
    <row r="102" spans="2:133">
      <c r="B102" t="s">
        <v>474</v>
      </c>
      <c r="C102">
        <v>3</v>
      </c>
      <c r="D102" t="s">
        <v>472</v>
      </c>
      <c r="E102">
        <v>4</v>
      </c>
      <c r="F102" t="s">
        <v>639</v>
      </c>
      <c r="G102">
        <v>125</v>
      </c>
      <c r="H102" t="s">
        <v>628</v>
      </c>
      <c r="I102">
        <v>0</v>
      </c>
      <c r="J102">
        <v>1</v>
      </c>
      <c r="K102" t="s">
        <v>478</v>
      </c>
      <c r="L102" t="s">
        <v>482</v>
      </c>
      <c r="Y102">
        <v>96</v>
      </c>
      <c r="Z102">
        <v>75</v>
      </c>
      <c r="AA102">
        <v>95.358000000000004</v>
      </c>
      <c r="AB102">
        <v>75</v>
      </c>
      <c r="AC102">
        <v>29</v>
      </c>
      <c r="AF102">
        <v>75</v>
      </c>
      <c r="AG102">
        <v>52</v>
      </c>
      <c r="AH102">
        <v>63.062869999999997</v>
      </c>
      <c r="AI102">
        <v>75</v>
      </c>
      <c r="AJ102">
        <v>833</v>
      </c>
      <c r="AK102">
        <v>14161</v>
      </c>
      <c r="AL102">
        <v>16955.060000000001</v>
      </c>
      <c r="AM102">
        <v>5460</v>
      </c>
      <c r="AN102">
        <v>22415.06</v>
      </c>
      <c r="AR102">
        <v>2023.19</v>
      </c>
      <c r="AS102">
        <v>764.37009999999998</v>
      </c>
      <c r="AT102">
        <v>126.3515</v>
      </c>
      <c r="AU102" t="s">
        <v>476</v>
      </c>
      <c r="AV102">
        <v>0</v>
      </c>
      <c r="AW102">
        <v>0</v>
      </c>
      <c r="AX102">
        <v>0</v>
      </c>
      <c r="AY102">
        <v>1</v>
      </c>
      <c r="AZ102">
        <v>764.37009999999998</v>
      </c>
      <c r="BA102">
        <v>0</v>
      </c>
      <c r="BB102">
        <v>0</v>
      </c>
      <c r="BE102">
        <v>833</v>
      </c>
      <c r="BF102">
        <v>1652.5640000000001</v>
      </c>
      <c r="BG102">
        <v>2023.19</v>
      </c>
      <c r="BH102">
        <v>0</v>
      </c>
      <c r="BI102">
        <v>0</v>
      </c>
      <c r="BJ102">
        <v>0</v>
      </c>
      <c r="BK102">
        <v>0</v>
      </c>
      <c r="BL102">
        <v>0</v>
      </c>
      <c r="BM102">
        <v>0</v>
      </c>
      <c r="BN102">
        <v>0</v>
      </c>
      <c r="BO102">
        <v>0</v>
      </c>
      <c r="BP102">
        <v>0</v>
      </c>
      <c r="BQ102">
        <v>0</v>
      </c>
      <c r="BR102">
        <v>0</v>
      </c>
      <c r="BS102">
        <v>1166.2</v>
      </c>
      <c r="BT102">
        <v>4178.201</v>
      </c>
      <c r="BU102">
        <v>1200</v>
      </c>
      <c r="BV102">
        <v>4299.2979999999998</v>
      </c>
      <c r="BW102">
        <v>0</v>
      </c>
      <c r="BX102">
        <v>0</v>
      </c>
      <c r="BY102">
        <v>26</v>
      </c>
      <c r="BZ102">
        <v>6825</v>
      </c>
      <c r="CA102">
        <v>5460</v>
      </c>
      <c r="CB102">
        <v>15302.5</v>
      </c>
      <c r="CC102">
        <v>5460</v>
      </c>
      <c r="CD102">
        <v>0</v>
      </c>
      <c r="CE102">
        <v>0</v>
      </c>
      <c r="CF102">
        <v>0</v>
      </c>
      <c r="CL102" t="s">
        <v>477</v>
      </c>
      <c r="CM102">
        <v>0</v>
      </c>
      <c r="CN102">
        <v>0</v>
      </c>
      <c r="CQ102" t="s">
        <v>477</v>
      </c>
      <c r="CR102">
        <v>0</v>
      </c>
      <c r="CS102">
        <v>0</v>
      </c>
      <c r="CU102">
        <v>0</v>
      </c>
      <c r="CV102">
        <v>0</v>
      </c>
      <c r="CW102" t="s">
        <v>477</v>
      </c>
      <c r="CX102">
        <v>0</v>
      </c>
      <c r="CY102">
        <v>0</v>
      </c>
      <c r="CZ102">
        <v>0</v>
      </c>
      <c r="DA102" t="s">
        <v>477</v>
      </c>
      <c r="DB102">
        <v>0</v>
      </c>
      <c r="DC102">
        <v>0</v>
      </c>
      <c r="DN102">
        <v>0</v>
      </c>
      <c r="DO102">
        <v>0</v>
      </c>
    </row>
    <row r="103" spans="2:133">
      <c r="B103" t="s">
        <v>474</v>
      </c>
      <c r="C103">
        <v>3</v>
      </c>
      <c r="D103" t="s">
        <v>472</v>
      </c>
      <c r="E103">
        <v>4</v>
      </c>
      <c r="F103" t="s">
        <v>639</v>
      </c>
      <c r="G103">
        <v>126</v>
      </c>
      <c r="H103" t="s">
        <v>629</v>
      </c>
      <c r="I103">
        <v>0</v>
      </c>
      <c r="J103">
        <v>1</v>
      </c>
      <c r="K103" t="s">
        <v>478</v>
      </c>
      <c r="L103" t="s">
        <v>482</v>
      </c>
      <c r="Y103">
        <v>96</v>
      </c>
      <c r="Z103">
        <v>75</v>
      </c>
      <c r="AA103">
        <v>95.358000000000004</v>
      </c>
      <c r="AB103">
        <v>75</v>
      </c>
      <c r="AC103">
        <v>29</v>
      </c>
      <c r="AF103">
        <v>75</v>
      </c>
      <c r="AG103">
        <v>52</v>
      </c>
      <c r="AH103">
        <v>63.062869999999997</v>
      </c>
      <c r="AI103">
        <v>75</v>
      </c>
      <c r="AJ103">
        <v>115</v>
      </c>
      <c r="AK103">
        <v>1955</v>
      </c>
      <c r="AL103">
        <v>2246.319</v>
      </c>
      <c r="AM103">
        <v>630</v>
      </c>
      <c r="AN103">
        <v>2876.319</v>
      </c>
      <c r="AR103">
        <v>279.31200000000001</v>
      </c>
      <c r="AS103">
        <v>101.2688</v>
      </c>
      <c r="AT103">
        <v>17.443480000000001</v>
      </c>
      <c r="AU103" t="s">
        <v>476</v>
      </c>
      <c r="AV103">
        <v>0</v>
      </c>
      <c r="AW103">
        <v>0</v>
      </c>
      <c r="AX103">
        <v>0</v>
      </c>
      <c r="AY103">
        <v>1</v>
      </c>
      <c r="AZ103">
        <v>101.2688</v>
      </c>
      <c r="BA103">
        <v>0</v>
      </c>
      <c r="BB103">
        <v>0</v>
      </c>
      <c r="BE103">
        <v>115</v>
      </c>
      <c r="BF103">
        <v>228.14500000000001</v>
      </c>
      <c r="BG103">
        <v>279.31200000000001</v>
      </c>
      <c r="BH103">
        <v>0</v>
      </c>
      <c r="BI103">
        <v>0</v>
      </c>
      <c r="BJ103">
        <v>0</v>
      </c>
      <c r="BK103">
        <v>0</v>
      </c>
      <c r="BL103">
        <v>0</v>
      </c>
      <c r="BM103">
        <v>0</v>
      </c>
      <c r="BN103">
        <v>0</v>
      </c>
      <c r="BO103">
        <v>0</v>
      </c>
      <c r="BP103">
        <v>0</v>
      </c>
      <c r="BQ103">
        <v>0</v>
      </c>
      <c r="BR103">
        <v>0</v>
      </c>
      <c r="BS103">
        <v>127</v>
      </c>
      <c r="BT103">
        <v>453.2176</v>
      </c>
      <c r="BU103">
        <v>217</v>
      </c>
      <c r="BV103">
        <v>777.45630000000006</v>
      </c>
      <c r="BW103">
        <v>0</v>
      </c>
      <c r="BX103">
        <v>0</v>
      </c>
      <c r="BY103">
        <v>3</v>
      </c>
      <c r="BZ103">
        <v>787.49990000000003</v>
      </c>
      <c r="CA103">
        <v>630</v>
      </c>
      <c r="CB103">
        <v>2018.174</v>
      </c>
      <c r="CC103">
        <v>630</v>
      </c>
      <c r="CD103">
        <v>0</v>
      </c>
      <c r="CE103">
        <v>0</v>
      </c>
      <c r="CF103">
        <v>0</v>
      </c>
      <c r="CL103" t="s">
        <v>477</v>
      </c>
      <c r="CM103">
        <v>0</v>
      </c>
      <c r="CN103">
        <v>0</v>
      </c>
      <c r="CQ103" t="s">
        <v>477</v>
      </c>
      <c r="CR103">
        <v>0</v>
      </c>
      <c r="CS103">
        <v>0</v>
      </c>
      <c r="CU103">
        <v>0</v>
      </c>
      <c r="CV103">
        <v>0</v>
      </c>
      <c r="CW103" t="s">
        <v>477</v>
      </c>
      <c r="CX103">
        <v>0</v>
      </c>
      <c r="CY103">
        <v>0</v>
      </c>
      <c r="CZ103">
        <v>0</v>
      </c>
      <c r="DA103" t="s">
        <v>477</v>
      </c>
      <c r="DB103">
        <v>0</v>
      </c>
      <c r="DC103">
        <v>0</v>
      </c>
      <c r="DN103">
        <v>0</v>
      </c>
      <c r="DO103">
        <v>0</v>
      </c>
    </row>
    <row r="104" spans="2:133">
      <c r="B104" t="s">
        <v>474</v>
      </c>
      <c r="C104">
        <v>3</v>
      </c>
      <c r="D104" t="s">
        <v>472</v>
      </c>
      <c r="E104">
        <v>4</v>
      </c>
      <c r="F104" t="s">
        <v>639</v>
      </c>
      <c r="G104">
        <v>127</v>
      </c>
      <c r="H104" t="s">
        <v>630</v>
      </c>
      <c r="I104">
        <v>0</v>
      </c>
      <c r="J104">
        <v>1</v>
      </c>
      <c r="K104" t="s">
        <v>478</v>
      </c>
      <c r="L104" t="s">
        <v>482</v>
      </c>
      <c r="Y104">
        <v>96</v>
      </c>
      <c r="Z104">
        <v>75</v>
      </c>
      <c r="AA104">
        <v>95.358000000000004</v>
      </c>
      <c r="AB104">
        <v>75</v>
      </c>
      <c r="AC104">
        <v>29</v>
      </c>
      <c r="AF104">
        <v>75</v>
      </c>
      <c r="AG104">
        <v>52</v>
      </c>
      <c r="AH104">
        <v>63.062869999999997</v>
      </c>
      <c r="AI104">
        <v>75</v>
      </c>
      <c r="AJ104">
        <v>80</v>
      </c>
      <c r="AK104">
        <v>1360</v>
      </c>
      <c r="AL104">
        <v>674.62530000000004</v>
      </c>
      <c r="AM104">
        <v>0</v>
      </c>
      <c r="AN104">
        <v>674.62530000000004</v>
      </c>
      <c r="AR104">
        <v>194.304</v>
      </c>
      <c r="AS104">
        <v>64</v>
      </c>
      <c r="AT104">
        <v>12.134589999999999</v>
      </c>
      <c r="AU104" t="s">
        <v>476</v>
      </c>
      <c r="AV104">
        <v>0</v>
      </c>
      <c r="AW104">
        <v>0</v>
      </c>
      <c r="AX104">
        <v>0</v>
      </c>
      <c r="AY104">
        <v>1</v>
      </c>
      <c r="AZ104">
        <v>64</v>
      </c>
      <c r="BA104">
        <v>0</v>
      </c>
      <c r="BB104">
        <v>0</v>
      </c>
      <c r="BE104">
        <v>80</v>
      </c>
      <c r="BF104">
        <v>158.70959999999999</v>
      </c>
      <c r="BG104">
        <v>194.304</v>
      </c>
      <c r="BH104">
        <v>0</v>
      </c>
      <c r="BI104">
        <v>0</v>
      </c>
      <c r="BJ104">
        <v>0</v>
      </c>
      <c r="BK104">
        <v>0</v>
      </c>
      <c r="BL104">
        <v>0</v>
      </c>
      <c r="BM104">
        <v>0</v>
      </c>
      <c r="BN104">
        <v>0</v>
      </c>
      <c r="BO104">
        <v>0</v>
      </c>
      <c r="BP104">
        <v>0</v>
      </c>
      <c r="BQ104">
        <v>0</v>
      </c>
      <c r="BR104">
        <v>0</v>
      </c>
      <c r="BS104">
        <v>64</v>
      </c>
      <c r="BT104">
        <v>229.29589999999999</v>
      </c>
      <c r="BU104">
        <v>80</v>
      </c>
      <c r="BV104">
        <v>286.6198</v>
      </c>
      <c r="BW104">
        <v>0</v>
      </c>
      <c r="BX104">
        <v>0</v>
      </c>
      <c r="BY104">
        <v>0</v>
      </c>
      <c r="BZ104">
        <v>0</v>
      </c>
      <c r="CA104">
        <v>0</v>
      </c>
      <c r="CB104">
        <v>515.91570000000002</v>
      </c>
      <c r="CC104">
        <v>0</v>
      </c>
      <c r="CD104">
        <v>0</v>
      </c>
      <c r="CE104">
        <v>0</v>
      </c>
      <c r="CF104">
        <v>0</v>
      </c>
      <c r="CL104" t="s">
        <v>477</v>
      </c>
      <c r="CM104">
        <v>0</v>
      </c>
      <c r="CN104">
        <v>0</v>
      </c>
      <c r="CQ104" t="s">
        <v>477</v>
      </c>
      <c r="CR104">
        <v>0</v>
      </c>
      <c r="CS104">
        <v>0</v>
      </c>
      <c r="CU104">
        <v>0</v>
      </c>
      <c r="CV104">
        <v>0</v>
      </c>
      <c r="CW104" t="s">
        <v>477</v>
      </c>
      <c r="CX104">
        <v>0</v>
      </c>
      <c r="CY104">
        <v>0</v>
      </c>
      <c r="CZ104">
        <v>0</v>
      </c>
      <c r="DA104" t="s">
        <v>477</v>
      </c>
      <c r="DB104">
        <v>0</v>
      </c>
      <c r="DC104">
        <v>0</v>
      </c>
      <c r="DN104">
        <v>0</v>
      </c>
      <c r="DO104">
        <v>0</v>
      </c>
    </row>
    <row r="105" spans="2:133">
      <c r="B105" t="s">
        <v>474</v>
      </c>
      <c r="C105">
        <v>3</v>
      </c>
      <c r="D105" t="s">
        <v>472</v>
      </c>
      <c r="E105">
        <v>4</v>
      </c>
      <c r="F105" t="s">
        <v>639</v>
      </c>
      <c r="G105">
        <v>128</v>
      </c>
      <c r="H105" t="s">
        <v>631</v>
      </c>
      <c r="I105">
        <v>0</v>
      </c>
      <c r="J105">
        <v>1</v>
      </c>
      <c r="K105" t="s">
        <v>478</v>
      </c>
      <c r="L105" t="s">
        <v>482</v>
      </c>
      <c r="Y105">
        <v>96</v>
      </c>
      <c r="Z105">
        <v>75</v>
      </c>
      <c r="AA105">
        <v>95.358000000000004</v>
      </c>
      <c r="AB105">
        <v>75</v>
      </c>
      <c r="AC105">
        <v>29</v>
      </c>
      <c r="AF105">
        <v>75</v>
      </c>
      <c r="AG105">
        <v>52</v>
      </c>
      <c r="AH105">
        <v>63.062869999999997</v>
      </c>
      <c r="AI105">
        <v>75</v>
      </c>
      <c r="AJ105">
        <v>60</v>
      </c>
      <c r="AK105">
        <v>1020</v>
      </c>
      <c r="AL105">
        <v>789.96550000000002</v>
      </c>
      <c r="AM105">
        <v>210</v>
      </c>
      <c r="AN105">
        <v>999.96550000000002</v>
      </c>
      <c r="AR105">
        <v>145.72800000000001</v>
      </c>
      <c r="AS105">
        <v>50</v>
      </c>
      <c r="AT105">
        <v>9.1009449999999994</v>
      </c>
      <c r="AU105" t="s">
        <v>476</v>
      </c>
      <c r="AV105">
        <v>0</v>
      </c>
      <c r="AW105">
        <v>0</v>
      </c>
      <c r="AX105">
        <v>0</v>
      </c>
      <c r="AY105">
        <v>1</v>
      </c>
      <c r="AZ105">
        <v>50</v>
      </c>
      <c r="BA105">
        <v>0</v>
      </c>
      <c r="BB105">
        <v>0</v>
      </c>
      <c r="BE105">
        <v>60</v>
      </c>
      <c r="BF105">
        <v>119.0322</v>
      </c>
      <c r="BG105">
        <v>145.72800000000001</v>
      </c>
      <c r="BH105">
        <v>0</v>
      </c>
      <c r="BI105">
        <v>0</v>
      </c>
      <c r="BJ105">
        <v>0</v>
      </c>
      <c r="BK105">
        <v>0</v>
      </c>
      <c r="BL105">
        <v>0</v>
      </c>
      <c r="BM105">
        <v>0</v>
      </c>
      <c r="BN105">
        <v>0</v>
      </c>
      <c r="BO105">
        <v>0</v>
      </c>
      <c r="BP105">
        <v>0</v>
      </c>
      <c r="BQ105">
        <v>0</v>
      </c>
      <c r="BR105">
        <v>0</v>
      </c>
      <c r="BS105">
        <v>54</v>
      </c>
      <c r="BT105">
        <v>193.4684</v>
      </c>
      <c r="BU105">
        <v>60</v>
      </c>
      <c r="BV105">
        <v>214.9649</v>
      </c>
      <c r="BW105">
        <v>0</v>
      </c>
      <c r="BX105">
        <v>0</v>
      </c>
      <c r="BY105">
        <v>1</v>
      </c>
      <c r="BZ105">
        <v>262.5</v>
      </c>
      <c r="CA105">
        <v>210</v>
      </c>
      <c r="CB105">
        <v>670.93330000000003</v>
      </c>
      <c r="CC105">
        <v>210</v>
      </c>
      <c r="CD105">
        <v>0</v>
      </c>
      <c r="CE105">
        <v>0</v>
      </c>
      <c r="CF105">
        <v>0</v>
      </c>
      <c r="CL105" t="s">
        <v>477</v>
      </c>
      <c r="CM105">
        <v>0</v>
      </c>
      <c r="CN105">
        <v>0</v>
      </c>
      <c r="CQ105" t="s">
        <v>477</v>
      </c>
      <c r="CR105">
        <v>0</v>
      </c>
      <c r="CS105">
        <v>0</v>
      </c>
      <c r="CU105">
        <v>0</v>
      </c>
      <c r="CV105">
        <v>0</v>
      </c>
      <c r="CW105" t="s">
        <v>477</v>
      </c>
      <c r="CX105">
        <v>0</v>
      </c>
      <c r="CY105">
        <v>0</v>
      </c>
      <c r="CZ105">
        <v>0</v>
      </c>
      <c r="DA105" t="s">
        <v>477</v>
      </c>
      <c r="DB105">
        <v>0</v>
      </c>
      <c r="DC105">
        <v>0</v>
      </c>
      <c r="DN105">
        <v>0</v>
      </c>
      <c r="DO105">
        <v>0</v>
      </c>
    </row>
    <row r="106" spans="2:133">
      <c r="B106" t="s">
        <v>480</v>
      </c>
      <c r="C106">
        <v>5</v>
      </c>
      <c r="D106" t="s">
        <v>472</v>
      </c>
      <c r="E106">
        <v>4</v>
      </c>
      <c r="F106" t="s">
        <v>639</v>
      </c>
      <c r="J106">
        <v>2</v>
      </c>
      <c r="AJ106">
        <v>10158</v>
      </c>
      <c r="AK106">
        <v>172686</v>
      </c>
      <c r="AL106">
        <v>227987.6</v>
      </c>
      <c r="AM106">
        <v>53970</v>
      </c>
      <c r="AN106">
        <v>281957.59999999998</v>
      </c>
      <c r="AR106">
        <v>70708.44</v>
      </c>
      <c r="AS106">
        <v>10808.13</v>
      </c>
      <c r="AT106">
        <v>4415.8540000000003</v>
      </c>
    </row>
    <row r="107" spans="2:133">
      <c r="B107" t="s">
        <v>82</v>
      </c>
      <c r="C107">
        <v>1</v>
      </c>
      <c r="D107" t="s">
        <v>472</v>
      </c>
      <c r="E107">
        <v>4</v>
      </c>
      <c r="F107" t="s">
        <v>639</v>
      </c>
      <c r="J107">
        <v>2</v>
      </c>
      <c r="K107" t="s">
        <v>478</v>
      </c>
      <c r="L107" t="s">
        <v>479</v>
      </c>
      <c r="Y107">
        <v>96</v>
      </c>
      <c r="Z107">
        <v>75</v>
      </c>
      <c r="AA107">
        <v>93.86</v>
      </c>
      <c r="AB107">
        <v>75</v>
      </c>
      <c r="AC107">
        <v>29</v>
      </c>
      <c r="AD107" t="s">
        <v>637</v>
      </c>
      <c r="AE107">
        <v>2</v>
      </c>
      <c r="AF107">
        <v>75</v>
      </c>
      <c r="AG107">
        <v>52</v>
      </c>
      <c r="AH107">
        <v>63.062869999999997</v>
      </c>
      <c r="AI107">
        <v>75</v>
      </c>
      <c r="AJ107">
        <v>10158</v>
      </c>
      <c r="AK107">
        <v>172686</v>
      </c>
      <c r="AL107">
        <v>240909.1</v>
      </c>
      <c r="AM107">
        <v>53970</v>
      </c>
      <c r="AN107">
        <v>294879.09999999998</v>
      </c>
      <c r="AO107">
        <v>0</v>
      </c>
      <c r="AP107">
        <v>24.573260000000001</v>
      </c>
      <c r="AQ107">
        <v>0</v>
      </c>
      <c r="AR107">
        <v>70708.44</v>
      </c>
      <c r="AS107">
        <v>10792.58</v>
      </c>
      <c r="AT107">
        <v>4415.8540000000003</v>
      </c>
      <c r="AU107" t="s">
        <v>476</v>
      </c>
      <c r="AV107">
        <v>0</v>
      </c>
      <c r="AW107">
        <v>0</v>
      </c>
      <c r="AX107">
        <v>0</v>
      </c>
      <c r="BA107">
        <v>0</v>
      </c>
      <c r="BB107">
        <v>0</v>
      </c>
      <c r="BC107">
        <v>240909.1</v>
      </c>
      <c r="BD107">
        <v>0</v>
      </c>
      <c r="BE107">
        <v>10158</v>
      </c>
      <c r="BF107">
        <v>19640.189999999999</v>
      </c>
      <c r="BG107">
        <v>24671.75</v>
      </c>
      <c r="BH107">
        <v>4551.1000000000004</v>
      </c>
      <c r="BI107">
        <v>14373.11</v>
      </c>
      <c r="BJ107">
        <v>34773.129999999997</v>
      </c>
      <c r="BK107">
        <v>445.2</v>
      </c>
      <c r="BL107">
        <v>16220.88</v>
      </c>
      <c r="BM107">
        <v>11263.56</v>
      </c>
      <c r="BN107">
        <v>0</v>
      </c>
      <c r="BO107">
        <v>0</v>
      </c>
      <c r="BP107">
        <v>0</v>
      </c>
      <c r="BQ107">
        <v>0</v>
      </c>
      <c r="BR107">
        <v>0</v>
      </c>
      <c r="BS107">
        <v>12727.2</v>
      </c>
      <c r="BT107">
        <v>45592.98</v>
      </c>
      <c r="BU107">
        <v>17964</v>
      </c>
      <c r="BV107">
        <v>64360.480000000003</v>
      </c>
      <c r="BW107">
        <v>0</v>
      </c>
      <c r="BX107">
        <v>0</v>
      </c>
      <c r="BY107">
        <v>257</v>
      </c>
      <c r="BZ107">
        <v>67462.5</v>
      </c>
      <c r="CA107">
        <v>53970</v>
      </c>
      <c r="CB107">
        <v>177416</v>
      </c>
      <c r="CC107">
        <v>53970</v>
      </c>
      <c r="CD107">
        <v>0</v>
      </c>
      <c r="CE107">
        <v>0</v>
      </c>
      <c r="CF107">
        <v>0</v>
      </c>
      <c r="CG107">
        <v>0</v>
      </c>
      <c r="CH107">
        <v>0</v>
      </c>
      <c r="CI107">
        <v>0</v>
      </c>
      <c r="CJ107">
        <v>0</v>
      </c>
      <c r="CK107">
        <v>0</v>
      </c>
      <c r="CM107">
        <v>0</v>
      </c>
      <c r="CN107">
        <v>0</v>
      </c>
      <c r="CO107">
        <v>0</v>
      </c>
      <c r="CP107">
        <v>0</v>
      </c>
      <c r="CR107">
        <v>0</v>
      </c>
      <c r="CS107">
        <v>0</v>
      </c>
      <c r="CT107">
        <v>0</v>
      </c>
      <c r="CU107">
        <v>0</v>
      </c>
      <c r="CV107">
        <v>0</v>
      </c>
      <c r="CX107">
        <v>0</v>
      </c>
      <c r="CY107">
        <v>0</v>
      </c>
      <c r="CZ107">
        <v>0</v>
      </c>
      <c r="DB107">
        <v>0</v>
      </c>
      <c r="DC107">
        <v>0</v>
      </c>
      <c r="DD107">
        <v>1503.3779999999999</v>
      </c>
      <c r="DE107">
        <v>0</v>
      </c>
      <c r="DF107">
        <v>11755.56</v>
      </c>
      <c r="DG107">
        <v>0</v>
      </c>
      <c r="DH107">
        <v>0</v>
      </c>
      <c r="DI107">
        <v>0</v>
      </c>
      <c r="DJ107">
        <v>0</v>
      </c>
      <c r="DK107">
        <v>0</v>
      </c>
      <c r="DL107">
        <v>0</v>
      </c>
      <c r="DM107">
        <v>0</v>
      </c>
      <c r="DR107">
        <v>0</v>
      </c>
      <c r="DS107">
        <v>0</v>
      </c>
      <c r="DT107">
        <v>54.470410000000001</v>
      </c>
      <c r="DU107">
        <v>53.648679999999999</v>
      </c>
      <c r="DV107">
        <v>95</v>
      </c>
      <c r="DW107">
        <v>22.472750000000001</v>
      </c>
      <c r="DX107">
        <v>75</v>
      </c>
      <c r="DY107">
        <v>63.059690000000003</v>
      </c>
      <c r="DZ107">
        <v>51.989710000000002</v>
      </c>
      <c r="EA107">
        <v>28.642099999999999</v>
      </c>
      <c r="EB107">
        <v>90</v>
      </c>
      <c r="EC107">
        <v>75</v>
      </c>
    </row>
    <row r="108" spans="2:133">
      <c r="B108" t="s">
        <v>474</v>
      </c>
      <c r="C108">
        <v>3</v>
      </c>
      <c r="D108" t="s">
        <v>472</v>
      </c>
      <c r="E108">
        <v>5</v>
      </c>
      <c r="F108" t="s">
        <v>640</v>
      </c>
      <c r="G108">
        <v>85</v>
      </c>
      <c r="H108" t="s">
        <v>589</v>
      </c>
      <c r="I108">
        <v>0</v>
      </c>
      <c r="J108">
        <v>1</v>
      </c>
      <c r="K108" t="s">
        <v>478</v>
      </c>
      <c r="L108" t="s">
        <v>482</v>
      </c>
      <c r="Y108">
        <v>96</v>
      </c>
      <c r="Z108">
        <v>75</v>
      </c>
      <c r="AA108">
        <v>95.358000000000004</v>
      </c>
      <c r="AB108">
        <v>75</v>
      </c>
      <c r="AC108">
        <v>29</v>
      </c>
      <c r="AF108">
        <v>75</v>
      </c>
      <c r="AG108">
        <v>52</v>
      </c>
      <c r="AH108">
        <v>63.062869999999997</v>
      </c>
      <c r="AI108">
        <v>75</v>
      </c>
      <c r="AJ108">
        <v>60</v>
      </c>
      <c r="AK108">
        <v>1020</v>
      </c>
      <c r="AL108">
        <v>789.96550000000002</v>
      </c>
      <c r="AM108">
        <v>210</v>
      </c>
      <c r="AN108">
        <v>999.96550000000002</v>
      </c>
      <c r="AR108">
        <v>145.72800000000001</v>
      </c>
      <c r="AS108">
        <v>50</v>
      </c>
      <c r="AT108">
        <v>9.1009449999999994</v>
      </c>
      <c r="AU108" t="s">
        <v>476</v>
      </c>
      <c r="AV108">
        <v>0</v>
      </c>
      <c r="AW108">
        <v>0</v>
      </c>
      <c r="AX108">
        <v>0</v>
      </c>
      <c r="AY108">
        <v>1</v>
      </c>
      <c r="AZ108">
        <v>50</v>
      </c>
      <c r="BA108">
        <v>0</v>
      </c>
      <c r="BB108">
        <v>0</v>
      </c>
      <c r="BE108">
        <v>60</v>
      </c>
      <c r="BF108">
        <v>119.0322</v>
      </c>
      <c r="BG108">
        <v>145.72800000000001</v>
      </c>
      <c r="BH108">
        <v>0</v>
      </c>
      <c r="BI108">
        <v>0</v>
      </c>
      <c r="BJ108">
        <v>0</v>
      </c>
      <c r="BK108">
        <v>0</v>
      </c>
      <c r="BL108">
        <v>0</v>
      </c>
      <c r="BM108">
        <v>0</v>
      </c>
      <c r="BN108">
        <v>0</v>
      </c>
      <c r="BO108">
        <v>0</v>
      </c>
      <c r="BP108">
        <v>0</v>
      </c>
      <c r="BQ108">
        <v>0</v>
      </c>
      <c r="BR108">
        <v>0</v>
      </c>
      <c r="BS108">
        <v>54</v>
      </c>
      <c r="BT108">
        <v>193.4684</v>
      </c>
      <c r="BU108">
        <v>60</v>
      </c>
      <c r="BV108">
        <v>214.9649</v>
      </c>
      <c r="BW108">
        <v>0</v>
      </c>
      <c r="BX108">
        <v>0</v>
      </c>
      <c r="BY108">
        <v>1</v>
      </c>
      <c r="BZ108">
        <v>262.5</v>
      </c>
      <c r="CA108">
        <v>210</v>
      </c>
      <c r="CB108">
        <v>670.93330000000003</v>
      </c>
      <c r="CC108">
        <v>210</v>
      </c>
      <c r="CD108">
        <v>0</v>
      </c>
      <c r="CE108">
        <v>0</v>
      </c>
      <c r="CF108">
        <v>0</v>
      </c>
      <c r="CL108" t="s">
        <v>477</v>
      </c>
      <c r="CM108">
        <v>0</v>
      </c>
      <c r="CN108">
        <v>0</v>
      </c>
      <c r="CQ108" t="s">
        <v>477</v>
      </c>
      <c r="CR108">
        <v>0</v>
      </c>
      <c r="CS108">
        <v>0</v>
      </c>
      <c r="CU108">
        <v>0</v>
      </c>
      <c r="CV108">
        <v>0</v>
      </c>
      <c r="CW108" t="s">
        <v>477</v>
      </c>
      <c r="CX108">
        <v>0</v>
      </c>
      <c r="CY108">
        <v>0</v>
      </c>
      <c r="CZ108">
        <v>0</v>
      </c>
      <c r="DA108" t="s">
        <v>477</v>
      </c>
      <c r="DB108">
        <v>0</v>
      </c>
      <c r="DC108">
        <v>0</v>
      </c>
      <c r="DN108">
        <v>0</v>
      </c>
      <c r="DO108">
        <v>0</v>
      </c>
    </row>
    <row r="109" spans="2:133">
      <c r="B109" t="s">
        <v>474</v>
      </c>
      <c r="C109">
        <v>3</v>
      </c>
      <c r="D109" t="s">
        <v>472</v>
      </c>
      <c r="E109">
        <v>5</v>
      </c>
      <c r="F109" t="s">
        <v>640</v>
      </c>
      <c r="G109">
        <v>86</v>
      </c>
      <c r="H109" t="s">
        <v>590</v>
      </c>
      <c r="I109">
        <v>0</v>
      </c>
      <c r="J109">
        <v>1</v>
      </c>
      <c r="K109" t="s">
        <v>478</v>
      </c>
      <c r="L109" t="s">
        <v>482</v>
      </c>
      <c r="Y109">
        <v>96</v>
      </c>
      <c r="Z109">
        <v>75</v>
      </c>
      <c r="AA109">
        <v>95.358000000000004</v>
      </c>
      <c r="AB109">
        <v>75</v>
      </c>
      <c r="AC109">
        <v>29</v>
      </c>
      <c r="AF109">
        <v>75</v>
      </c>
      <c r="AG109">
        <v>52</v>
      </c>
      <c r="AH109">
        <v>63.062869999999997</v>
      </c>
      <c r="AI109">
        <v>75</v>
      </c>
      <c r="AJ109">
        <v>150</v>
      </c>
      <c r="AK109">
        <v>2550</v>
      </c>
      <c r="AL109">
        <v>1264.922</v>
      </c>
      <c r="AM109">
        <v>0</v>
      </c>
      <c r="AN109">
        <v>1264.922</v>
      </c>
      <c r="AR109">
        <v>364.32</v>
      </c>
      <c r="AS109">
        <v>120</v>
      </c>
      <c r="AT109">
        <v>22.752369999999999</v>
      </c>
      <c r="AU109" t="s">
        <v>476</v>
      </c>
      <c r="AV109">
        <v>0</v>
      </c>
      <c r="AW109">
        <v>0</v>
      </c>
      <c r="AX109">
        <v>0</v>
      </c>
      <c r="AY109">
        <v>1</v>
      </c>
      <c r="AZ109">
        <v>120</v>
      </c>
      <c r="BA109">
        <v>0</v>
      </c>
      <c r="BB109">
        <v>0</v>
      </c>
      <c r="BE109">
        <v>150</v>
      </c>
      <c r="BF109">
        <v>297.58049999999997</v>
      </c>
      <c r="BG109">
        <v>364.32</v>
      </c>
      <c r="BH109">
        <v>0</v>
      </c>
      <c r="BI109">
        <v>0</v>
      </c>
      <c r="BJ109">
        <v>0</v>
      </c>
      <c r="BK109">
        <v>0</v>
      </c>
      <c r="BL109">
        <v>0</v>
      </c>
      <c r="BM109">
        <v>0</v>
      </c>
      <c r="BN109">
        <v>0</v>
      </c>
      <c r="BO109">
        <v>0</v>
      </c>
      <c r="BP109">
        <v>0</v>
      </c>
      <c r="BQ109">
        <v>0</v>
      </c>
      <c r="BR109">
        <v>0</v>
      </c>
      <c r="BS109">
        <v>120</v>
      </c>
      <c r="BT109">
        <v>429.9298</v>
      </c>
      <c r="BU109">
        <v>150</v>
      </c>
      <c r="BV109">
        <v>537.41219999999998</v>
      </c>
      <c r="BW109">
        <v>0</v>
      </c>
      <c r="BX109">
        <v>0</v>
      </c>
      <c r="BY109">
        <v>0</v>
      </c>
      <c r="BZ109">
        <v>0</v>
      </c>
      <c r="CA109">
        <v>0</v>
      </c>
      <c r="CB109">
        <v>967.34199999999998</v>
      </c>
      <c r="CC109">
        <v>0</v>
      </c>
      <c r="CD109">
        <v>0</v>
      </c>
      <c r="CE109">
        <v>0</v>
      </c>
      <c r="CF109">
        <v>0</v>
      </c>
      <c r="CL109" t="s">
        <v>477</v>
      </c>
      <c r="CM109">
        <v>0</v>
      </c>
      <c r="CN109">
        <v>0</v>
      </c>
      <c r="CQ109" t="s">
        <v>477</v>
      </c>
      <c r="CR109">
        <v>0</v>
      </c>
      <c r="CS109">
        <v>0</v>
      </c>
      <c r="CU109">
        <v>0</v>
      </c>
      <c r="CV109">
        <v>0</v>
      </c>
      <c r="CW109" t="s">
        <v>477</v>
      </c>
      <c r="CX109">
        <v>0</v>
      </c>
      <c r="CY109">
        <v>0</v>
      </c>
      <c r="CZ109">
        <v>0</v>
      </c>
      <c r="DA109" t="s">
        <v>477</v>
      </c>
      <c r="DB109">
        <v>0</v>
      </c>
      <c r="DC109">
        <v>0</v>
      </c>
      <c r="DN109">
        <v>0</v>
      </c>
      <c r="DO109">
        <v>0</v>
      </c>
    </row>
    <row r="110" spans="2:133">
      <c r="B110" t="s">
        <v>474</v>
      </c>
      <c r="C110">
        <v>3</v>
      </c>
      <c r="D110" t="s">
        <v>472</v>
      </c>
      <c r="E110">
        <v>5</v>
      </c>
      <c r="F110" t="s">
        <v>640</v>
      </c>
      <c r="G110">
        <v>87</v>
      </c>
      <c r="H110" t="s">
        <v>591</v>
      </c>
      <c r="I110">
        <v>0</v>
      </c>
      <c r="J110">
        <v>1</v>
      </c>
      <c r="K110" t="s">
        <v>478</v>
      </c>
      <c r="L110" t="s">
        <v>482</v>
      </c>
      <c r="Y110">
        <v>96</v>
      </c>
      <c r="Z110">
        <v>75</v>
      </c>
      <c r="AA110">
        <v>95.358000000000004</v>
      </c>
      <c r="AB110">
        <v>75</v>
      </c>
      <c r="AC110">
        <v>29</v>
      </c>
      <c r="AF110">
        <v>75</v>
      </c>
      <c r="AG110">
        <v>52</v>
      </c>
      <c r="AH110">
        <v>63.062869999999997</v>
      </c>
      <c r="AI110">
        <v>75</v>
      </c>
      <c r="AJ110">
        <v>185</v>
      </c>
      <c r="AK110">
        <v>3145</v>
      </c>
      <c r="AL110">
        <v>1361.229</v>
      </c>
      <c r="AM110">
        <v>0</v>
      </c>
      <c r="AN110">
        <v>1361.229</v>
      </c>
      <c r="AR110">
        <v>449.32799999999997</v>
      </c>
      <c r="AS110">
        <v>111</v>
      </c>
      <c r="AT110">
        <v>28.061250000000001</v>
      </c>
      <c r="AU110" t="s">
        <v>476</v>
      </c>
      <c r="AV110">
        <v>0</v>
      </c>
      <c r="AW110">
        <v>0</v>
      </c>
      <c r="AX110">
        <v>0</v>
      </c>
      <c r="AY110">
        <v>1</v>
      </c>
      <c r="AZ110">
        <v>111</v>
      </c>
      <c r="BA110">
        <v>0</v>
      </c>
      <c r="BB110">
        <v>0</v>
      </c>
      <c r="BE110">
        <v>185</v>
      </c>
      <c r="BF110">
        <v>367.01589999999999</v>
      </c>
      <c r="BG110">
        <v>449.32799999999997</v>
      </c>
      <c r="BH110">
        <v>0</v>
      </c>
      <c r="BI110">
        <v>0</v>
      </c>
      <c r="BJ110">
        <v>0</v>
      </c>
      <c r="BK110">
        <v>0</v>
      </c>
      <c r="BL110">
        <v>0</v>
      </c>
      <c r="BM110">
        <v>0</v>
      </c>
      <c r="BN110">
        <v>0</v>
      </c>
      <c r="BO110">
        <v>0</v>
      </c>
      <c r="BP110">
        <v>0</v>
      </c>
      <c r="BQ110">
        <v>0</v>
      </c>
      <c r="BR110">
        <v>0</v>
      </c>
      <c r="BS110">
        <v>93</v>
      </c>
      <c r="BT110">
        <v>331.4042</v>
      </c>
      <c r="BU110">
        <v>185</v>
      </c>
      <c r="BV110">
        <v>662.80830000000003</v>
      </c>
      <c r="BW110">
        <v>0</v>
      </c>
      <c r="BX110">
        <v>0</v>
      </c>
      <c r="BY110">
        <v>0</v>
      </c>
      <c r="BZ110">
        <v>0</v>
      </c>
      <c r="CA110">
        <v>0</v>
      </c>
      <c r="CB110">
        <v>994.21249999999998</v>
      </c>
      <c r="CC110">
        <v>0</v>
      </c>
      <c r="CD110">
        <v>0</v>
      </c>
      <c r="CE110">
        <v>0</v>
      </c>
      <c r="CF110">
        <v>0</v>
      </c>
      <c r="CL110" t="s">
        <v>477</v>
      </c>
      <c r="CM110">
        <v>0</v>
      </c>
      <c r="CN110">
        <v>0</v>
      </c>
      <c r="CQ110" t="s">
        <v>477</v>
      </c>
      <c r="CR110">
        <v>0</v>
      </c>
      <c r="CS110">
        <v>0</v>
      </c>
      <c r="CU110">
        <v>0</v>
      </c>
      <c r="CV110">
        <v>0</v>
      </c>
      <c r="CW110" t="s">
        <v>477</v>
      </c>
      <c r="CX110">
        <v>0</v>
      </c>
      <c r="CY110">
        <v>0</v>
      </c>
      <c r="CZ110">
        <v>0</v>
      </c>
      <c r="DA110" t="s">
        <v>477</v>
      </c>
      <c r="DB110">
        <v>0</v>
      </c>
      <c r="DC110">
        <v>0</v>
      </c>
      <c r="DN110">
        <v>0</v>
      </c>
      <c r="DO110">
        <v>0</v>
      </c>
    </row>
    <row r="111" spans="2:133">
      <c r="B111" t="s">
        <v>474</v>
      </c>
      <c r="C111">
        <v>3</v>
      </c>
      <c r="D111" t="s">
        <v>472</v>
      </c>
      <c r="E111">
        <v>5</v>
      </c>
      <c r="F111" t="s">
        <v>640</v>
      </c>
      <c r="G111">
        <v>88</v>
      </c>
      <c r="H111" t="s">
        <v>592</v>
      </c>
      <c r="I111">
        <v>0</v>
      </c>
      <c r="J111">
        <v>1</v>
      </c>
      <c r="K111" t="s">
        <v>478</v>
      </c>
      <c r="L111" t="s">
        <v>482</v>
      </c>
      <c r="Y111">
        <v>96</v>
      </c>
      <c r="Z111">
        <v>75</v>
      </c>
      <c r="AA111">
        <v>95.358000000000004</v>
      </c>
      <c r="AB111">
        <v>75</v>
      </c>
      <c r="AC111">
        <v>29</v>
      </c>
      <c r="AF111">
        <v>75</v>
      </c>
      <c r="AG111">
        <v>52</v>
      </c>
      <c r="AH111">
        <v>63.062869999999997</v>
      </c>
      <c r="AI111">
        <v>75</v>
      </c>
      <c r="AJ111">
        <v>250</v>
      </c>
      <c r="AK111">
        <v>4250</v>
      </c>
      <c r="AL111">
        <v>3247.7730000000001</v>
      </c>
      <c r="AM111">
        <v>839.99990000000003</v>
      </c>
      <c r="AN111">
        <v>4087.7730000000001</v>
      </c>
      <c r="AR111">
        <v>607.20000000000005</v>
      </c>
      <c r="AS111">
        <v>143.29159999999999</v>
      </c>
      <c r="AT111">
        <v>37.920610000000003</v>
      </c>
      <c r="AU111" t="s">
        <v>476</v>
      </c>
      <c r="AV111">
        <v>0</v>
      </c>
      <c r="AW111">
        <v>0</v>
      </c>
      <c r="AX111">
        <v>0</v>
      </c>
      <c r="AY111">
        <v>1</v>
      </c>
      <c r="AZ111">
        <v>143.29159999999999</v>
      </c>
      <c r="BA111">
        <v>0</v>
      </c>
      <c r="BB111">
        <v>0</v>
      </c>
      <c r="BE111">
        <v>250</v>
      </c>
      <c r="BF111">
        <v>495.96749999999997</v>
      </c>
      <c r="BG111">
        <v>607.20000000000005</v>
      </c>
      <c r="BH111">
        <v>0</v>
      </c>
      <c r="BI111">
        <v>0</v>
      </c>
      <c r="BJ111">
        <v>0</v>
      </c>
      <c r="BK111">
        <v>0</v>
      </c>
      <c r="BL111">
        <v>0</v>
      </c>
      <c r="BM111">
        <v>0</v>
      </c>
      <c r="BN111">
        <v>0</v>
      </c>
      <c r="BO111">
        <v>0</v>
      </c>
      <c r="BP111">
        <v>0</v>
      </c>
      <c r="BQ111">
        <v>0</v>
      </c>
      <c r="BR111">
        <v>0</v>
      </c>
      <c r="BS111">
        <v>225</v>
      </c>
      <c r="BT111">
        <v>806.11829999999998</v>
      </c>
      <c r="BU111">
        <v>250</v>
      </c>
      <c r="BV111">
        <v>895.68700000000001</v>
      </c>
      <c r="BW111">
        <v>0</v>
      </c>
      <c r="BX111">
        <v>0</v>
      </c>
      <c r="BY111">
        <v>4</v>
      </c>
      <c r="BZ111">
        <v>1050</v>
      </c>
      <c r="CA111">
        <v>839.99990000000003</v>
      </c>
      <c r="CB111">
        <v>2751.8049999999998</v>
      </c>
      <c r="CC111">
        <v>839.99990000000003</v>
      </c>
      <c r="CD111">
        <v>0</v>
      </c>
      <c r="CE111">
        <v>0</v>
      </c>
      <c r="CF111">
        <v>0</v>
      </c>
      <c r="CL111" t="s">
        <v>477</v>
      </c>
      <c r="CM111">
        <v>0</v>
      </c>
      <c r="CN111">
        <v>0</v>
      </c>
      <c r="CQ111" t="s">
        <v>477</v>
      </c>
      <c r="CR111">
        <v>0</v>
      </c>
      <c r="CS111">
        <v>0</v>
      </c>
      <c r="CU111">
        <v>0</v>
      </c>
      <c r="CV111">
        <v>0</v>
      </c>
      <c r="CW111" t="s">
        <v>477</v>
      </c>
      <c r="CX111">
        <v>0</v>
      </c>
      <c r="CY111">
        <v>0</v>
      </c>
      <c r="CZ111">
        <v>0</v>
      </c>
      <c r="DA111" t="s">
        <v>477</v>
      </c>
      <c r="DB111">
        <v>0</v>
      </c>
      <c r="DC111">
        <v>0</v>
      </c>
      <c r="DN111">
        <v>0</v>
      </c>
      <c r="DO111">
        <v>0</v>
      </c>
    </row>
    <row r="112" spans="2:133">
      <c r="B112" t="s">
        <v>474</v>
      </c>
      <c r="C112">
        <v>3</v>
      </c>
      <c r="D112" t="s">
        <v>472</v>
      </c>
      <c r="E112">
        <v>5</v>
      </c>
      <c r="F112" t="s">
        <v>640</v>
      </c>
      <c r="G112">
        <v>89</v>
      </c>
      <c r="H112" t="s">
        <v>593</v>
      </c>
      <c r="I112">
        <v>0</v>
      </c>
      <c r="J112">
        <v>1</v>
      </c>
      <c r="K112" t="s">
        <v>478</v>
      </c>
      <c r="L112" t="s">
        <v>482</v>
      </c>
      <c r="Y112">
        <v>96</v>
      </c>
      <c r="Z112">
        <v>75</v>
      </c>
      <c r="AA112">
        <v>95.358000000000004</v>
      </c>
      <c r="AB112">
        <v>75</v>
      </c>
      <c r="AC112">
        <v>29</v>
      </c>
      <c r="AF112">
        <v>75</v>
      </c>
      <c r="AG112">
        <v>52</v>
      </c>
      <c r="AH112">
        <v>63.062869999999997</v>
      </c>
      <c r="AI112">
        <v>75</v>
      </c>
      <c r="AJ112">
        <v>130</v>
      </c>
      <c r="AK112">
        <v>2210</v>
      </c>
      <c r="AL112">
        <v>2192.8420000000001</v>
      </c>
      <c r="AM112">
        <v>839.99990000000003</v>
      </c>
      <c r="AN112">
        <v>3032.8420000000001</v>
      </c>
      <c r="AR112">
        <v>315.74400000000003</v>
      </c>
      <c r="AS112">
        <v>96.748090000000005</v>
      </c>
      <c r="AT112">
        <v>19.718720000000001</v>
      </c>
      <c r="AU112" t="s">
        <v>476</v>
      </c>
      <c r="AV112">
        <v>0</v>
      </c>
      <c r="AW112">
        <v>0</v>
      </c>
      <c r="AX112">
        <v>0</v>
      </c>
      <c r="AY112">
        <v>1</v>
      </c>
      <c r="AZ112">
        <v>96.748090000000005</v>
      </c>
      <c r="BA112">
        <v>0</v>
      </c>
      <c r="BB112">
        <v>0</v>
      </c>
      <c r="BE112">
        <v>130</v>
      </c>
      <c r="BF112">
        <v>257.90309999999999</v>
      </c>
      <c r="BG112">
        <v>315.74400000000003</v>
      </c>
      <c r="BH112">
        <v>0</v>
      </c>
      <c r="BI112">
        <v>0</v>
      </c>
      <c r="BJ112">
        <v>0</v>
      </c>
      <c r="BK112">
        <v>0</v>
      </c>
      <c r="BL112">
        <v>0</v>
      </c>
      <c r="BM112">
        <v>0</v>
      </c>
      <c r="BN112">
        <v>0</v>
      </c>
      <c r="BO112">
        <v>0</v>
      </c>
      <c r="BP112">
        <v>0</v>
      </c>
      <c r="BQ112">
        <v>0</v>
      </c>
      <c r="BR112">
        <v>0</v>
      </c>
      <c r="BS112">
        <v>117</v>
      </c>
      <c r="BT112">
        <v>419.18150000000003</v>
      </c>
      <c r="BU112">
        <v>130</v>
      </c>
      <c r="BV112">
        <v>465.75720000000001</v>
      </c>
      <c r="BW112">
        <v>0</v>
      </c>
      <c r="BX112">
        <v>0</v>
      </c>
      <c r="BY112">
        <v>4</v>
      </c>
      <c r="BZ112">
        <v>1050</v>
      </c>
      <c r="CA112">
        <v>839.99990000000003</v>
      </c>
      <c r="CB112">
        <v>1934.9390000000001</v>
      </c>
      <c r="CC112">
        <v>839.99990000000003</v>
      </c>
      <c r="CD112">
        <v>0</v>
      </c>
      <c r="CE112">
        <v>0</v>
      </c>
      <c r="CF112">
        <v>0</v>
      </c>
      <c r="CL112" t="s">
        <v>477</v>
      </c>
      <c r="CM112">
        <v>0</v>
      </c>
      <c r="CN112">
        <v>0</v>
      </c>
      <c r="CQ112" t="s">
        <v>477</v>
      </c>
      <c r="CR112">
        <v>0</v>
      </c>
      <c r="CS112">
        <v>0</v>
      </c>
      <c r="CU112">
        <v>0</v>
      </c>
      <c r="CV112">
        <v>0</v>
      </c>
      <c r="CW112" t="s">
        <v>477</v>
      </c>
      <c r="CX112">
        <v>0</v>
      </c>
      <c r="CY112">
        <v>0</v>
      </c>
      <c r="CZ112">
        <v>0</v>
      </c>
      <c r="DA112" t="s">
        <v>477</v>
      </c>
      <c r="DB112">
        <v>0</v>
      </c>
      <c r="DC112">
        <v>0</v>
      </c>
      <c r="DN112">
        <v>0</v>
      </c>
      <c r="DO112">
        <v>0</v>
      </c>
    </row>
    <row r="113" spans="2:119">
      <c r="B113" t="s">
        <v>474</v>
      </c>
      <c r="C113">
        <v>3</v>
      </c>
      <c r="D113" t="s">
        <v>472</v>
      </c>
      <c r="E113">
        <v>5</v>
      </c>
      <c r="F113" t="s">
        <v>640</v>
      </c>
      <c r="G113">
        <v>90</v>
      </c>
      <c r="H113" t="s">
        <v>594</v>
      </c>
      <c r="I113">
        <v>0</v>
      </c>
      <c r="J113">
        <v>1</v>
      </c>
      <c r="K113" t="s">
        <v>478</v>
      </c>
      <c r="L113" t="s">
        <v>482</v>
      </c>
      <c r="Y113">
        <v>96</v>
      </c>
      <c r="Z113">
        <v>75</v>
      </c>
      <c r="AA113">
        <v>95.358000000000004</v>
      </c>
      <c r="AB113">
        <v>75</v>
      </c>
      <c r="AC113">
        <v>29</v>
      </c>
      <c r="AF113">
        <v>75</v>
      </c>
      <c r="AG113">
        <v>52</v>
      </c>
      <c r="AH113">
        <v>63.062869999999997</v>
      </c>
      <c r="AI113">
        <v>75</v>
      </c>
      <c r="AJ113">
        <v>130</v>
      </c>
      <c r="AK113">
        <v>2210</v>
      </c>
      <c r="AL113">
        <v>2192.8420000000001</v>
      </c>
      <c r="AM113">
        <v>839.99990000000003</v>
      </c>
      <c r="AN113">
        <v>3032.8420000000001</v>
      </c>
      <c r="AR113">
        <v>315.74400000000003</v>
      </c>
      <c r="AS113">
        <v>96.748090000000005</v>
      </c>
      <c r="AT113">
        <v>19.718720000000001</v>
      </c>
      <c r="AU113" t="s">
        <v>476</v>
      </c>
      <c r="AV113">
        <v>0</v>
      </c>
      <c r="AW113">
        <v>0</v>
      </c>
      <c r="AX113">
        <v>0</v>
      </c>
      <c r="AY113">
        <v>1</v>
      </c>
      <c r="AZ113">
        <v>96.748090000000005</v>
      </c>
      <c r="BA113">
        <v>0</v>
      </c>
      <c r="BB113">
        <v>0</v>
      </c>
      <c r="BE113">
        <v>130</v>
      </c>
      <c r="BF113">
        <v>257.90309999999999</v>
      </c>
      <c r="BG113">
        <v>315.74400000000003</v>
      </c>
      <c r="BH113">
        <v>0</v>
      </c>
      <c r="BI113">
        <v>0</v>
      </c>
      <c r="BJ113">
        <v>0</v>
      </c>
      <c r="BK113">
        <v>0</v>
      </c>
      <c r="BL113">
        <v>0</v>
      </c>
      <c r="BM113">
        <v>0</v>
      </c>
      <c r="BN113">
        <v>0</v>
      </c>
      <c r="BO113">
        <v>0</v>
      </c>
      <c r="BP113">
        <v>0</v>
      </c>
      <c r="BQ113">
        <v>0</v>
      </c>
      <c r="BR113">
        <v>0</v>
      </c>
      <c r="BS113">
        <v>117</v>
      </c>
      <c r="BT113">
        <v>419.18150000000003</v>
      </c>
      <c r="BU113">
        <v>130</v>
      </c>
      <c r="BV113">
        <v>465.75720000000001</v>
      </c>
      <c r="BW113">
        <v>0</v>
      </c>
      <c r="BX113">
        <v>0</v>
      </c>
      <c r="BY113">
        <v>4</v>
      </c>
      <c r="BZ113">
        <v>1050</v>
      </c>
      <c r="CA113">
        <v>839.99990000000003</v>
      </c>
      <c r="CB113">
        <v>1934.9390000000001</v>
      </c>
      <c r="CC113">
        <v>839.99990000000003</v>
      </c>
      <c r="CD113">
        <v>0</v>
      </c>
      <c r="CE113">
        <v>0</v>
      </c>
      <c r="CF113">
        <v>0</v>
      </c>
      <c r="CL113" t="s">
        <v>477</v>
      </c>
      <c r="CM113">
        <v>0</v>
      </c>
      <c r="CN113">
        <v>0</v>
      </c>
      <c r="CQ113" t="s">
        <v>477</v>
      </c>
      <c r="CR113">
        <v>0</v>
      </c>
      <c r="CS113">
        <v>0</v>
      </c>
      <c r="CU113">
        <v>0</v>
      </c>
      <c r="CV113">
        <v>0</v>
      </c>
      <c r="CW113" t="s">
        <v>477</v>
      </c>
      <c r="CX113">
        <v>0</v>
      </c>
      <c r="CY113">
        <v>0</v>
      </c>
      <c r="CZ113">
        <v>0</v>
      </c>
      <c r="DA113" t="s">
        <v>477</v>
      </c>
      <c r="DB113">
        <v>0</v>
      </c>
      <c r="DC113">
        <v>0</v>
      </c>
      <c r="DN113">
        <v>0</v>
      </c>
      <c r="DO113">
        <v>0</v>
      </c>
    </row>
    <row r="114" spans="2:119">
      <c r="B114" t="s">
        <v>474</v>
      </c>
      <c r="C114">
        <v>3</v>
      </c>
      <c r="D114" t="s">
        <v>472</v>
      </c>
      <c r="E114">
        <v>5</v>
      </c>
      <c r="F114" t="s">
        <v>640</v>
      </c>
      <c r="G114">
        <v>91</v>
      </c>
      <c r="H114" t="s">
        <v>595</v>
      </c>
      <c r="I114">
        <v>0</v>
      </c>
      <c r="J114">
        <v>1</v>
      </c>
      <c r="K114" t="s">
        <v>478</v>
      </c>
      <c r="L114" t="s">
        <v>482</v>
      </c>
      <c r="Y114">
        <v>96</v>
      </c>
      <c r="Z114">
        <v>75</v>
      </c>
      <c r="AA114">
        <v>95.358000000000004</v>
      </c>
      <c r="AB114">
        <v>75</v>
      </c>
      <c r="AC114">
        <v>29</v>
      </c>
      <c r="AF114">
        <v>75</v>
      </c>
      <c r="AG114">
        <v>52</v>
      </c>
      <c r="AH114">
        <v>63.062869999999997</v>
      </c>
      <c r="AI114">
        <v>75</v>
      </c>
      <c r="AJ114">
        <v>820</v>
      </c>
      <c r="AK114">
        <v>13940</v>
      </c>
      <c r="AL114">
        <v>19194.43</v>
      </c>
      <c r="AM114">
        <v>5460</v>
      </c>
      <c r="AN114">
        <v>24654.43</v>
      </c>
      <c r="AR114">
        <v>5586.8069999999998</v>
      </c>
      <c r="AS114">
        <v>846.85730000000001</v>
      </c>
      <c r="AT114">
        <v>348.90499999999997</v>
      </c>
      <c r="AU114" t="s">
        <v>476</v>
      </c>
      <c r="AV114">
        <v>0</v>
      </c>
      <c r="AW114">
        <v>0</v>
      </c>
      <c r="AX114">
        <v>0</v>
      </c>
      <c r="AY114">
        <v>1</v>
      </c>
      <c r="AZ114">
        <v>846.85730000000001</v>
      </c>
      <c r="BA114">
        <v>0</v>
      </c>
      <c r="BB114">
        <v>0</v>
      </c>
      <c r="BE114">
        <v>820</v>
      </c>
      <c r="BF114">
        <v>1626.7729999999999</v>
      </c>
      <c r="BG114">
        <v>1991.616</v>
      </c>
      <c r="BH114">
        <v>371.2</v>
      </c>
      <c r="BI114">
        <v>1540.4970000000001</v>
      </c>
      <c r="BJ114">
        <v>2836.1909999999998</v>
      </c>
      <c r="BK114">
        <v>30</v>
      </c>
      <c r="BL114">
        <v>789.86249999999995</v>
      </c>
      <c r="BM114">
        <v>759</v>
      </c>
      <c r="BN114">
        <v>0</v>
      </c>
      <c r="BO114">
        <v>0</v>
      </c>
      <c r="BP114">
        <v>0</v>
      </c>
      <c r="BQ114">
        <v>0</v>
      </c>
      <c r="BR114">
        <v>0</v>
      </c>
      <c r="BS114">
        <v>1148</v>
      </c>
      <c r="BT114">
        <v>4112.9949999999999</v>
      </c>
      <c r="BU114">
        <v>1200</v>
      </c>
      <c r="BV114">
        <v>4299.2979999999998</v>
      </c>
      <c r="BW114">
        <v>0</v>
      </c>
      <c r="BX114">
        <v>0</v>
      </c>
      <c r="BY114">
        <v>26</v>
      </c>
      <c r="BZ114">
        <v>6825</v>
      </c>
      <c r="CA114">
        <v>5460</v>
      </c>
      <c r="CB114">
        <v>15237.29</v>
      </c>
      <c r="CC114">
        <v>5460</v>
      </c>
      <c r="CD114">
        <v>0</v>
      </c>
      <c r="CE114">
        <v>0</v>
      </c>
      <c r="CF114">
        <v>0</v>
      </c>
      <c r="CL114" t="s">
        <v>477</v>
      </c>
      <c r="CM114">
        <v>0</v>
      </c>
      <c r="CN114">
        <v>0</v>
      </c>
      <c r="CQ114" t="s">
        <v>477</v>
      </c>
      <c r="CR114">
        <v>0</v>
      </c>
      <c r="CS114">
        <v>0</v>
      </c>
      <c r="CU114">
        <v>0</v>
      </c>
      <c r="CV114">
        <v>0</v>
      </c>
      <c r="CW114" t="s">
        <v>477</v>
      </c>
      <c r="CX114">
        <v>0</v>
      </c>
      <c r="CY114">
        <v>0</v>
      </c>
      <c r="CZ114">
        <v>0</v>
      </c>
      <c r="DA114" t="s">
        <v>477</v>
      </c>
      <c r="DB114">
        <v>0</v>
      </c>
      <c r="DC114">
        <v>0</v>
      </c>
      <c r="DN114">
        <v>0</v>
      </c>
      <c r="DO114">
        <v>0</v>
      </c>
    </row>
    <row r="115" spans="2:119">
      <c r="B115" t="s">
        <v>474</v>
      </c>
      <c r="C115">
        <v>3</v>
      </c>
      <c r="D115" t="s">
        <v>472</v>
      </c>
      <c r="E115">
        <v>5</v>
      </c>
      <c r="F115" t="s">
        <v>640</v>
      </c>
      <c r="G115">
        <v>92</v>
      </c>
      <c r="H115" t="s">
        <v>596</v>
      </c>
      <c r="I115">
        <v>0</v>
      </c>
      <c r="J115">
        <v>1</v>
      </c>
      <c r="K115" t="s">
        <v>478</v>
      </c>
      <c r="L115" t="s">
        <v>482</v>
      </c>
      <c r="Y115">
        <v>96</v>
      </c>
      <c r="Z115">
        <v>75</v>
      </c>
      <c r="AA115">
        <v>95.358000000000004</v>
      </c>
      <c r="AB115">
        <v>75</v>
      </c>
      <c r="AC115">
        <v>29</v>
      </c>
      <c r="AF115">
        <v>75</v>
      </c>
      <c r="AG115">
        <v>52</v>
      </c>
      <c r="AH115">
        <v>63.062869999999997</v>
      </c>
      <c r="AI115">
        <v>75</v>
      </c>
      <c r="AJ115">
        <v>65</v>
      </c>
      <c r="AK115">
        <v>1105</v>
      </c>
      <c r="AL115">
        <v>833.92100000000005</v>
      </c>
      <c r="AM115">
        <v>210</v>
      </c>
      <c r="AN115">
        <v>1043.921</v>
      </c>
      <c r="AR115">
        <v>157.87200000000001</v>
      </c>
      <c r="AS115">
        <v>50</v>
      </c>
      <c r="AT115">
        <v>9.8593589999999995</v>
      </c>
      <c r="AU115" t="s">
        <v>476</v>
      </c>
      <c r="AV115">
        <v>0</v>
      </c>
      <c r="AW115">
        <v>0</v>
      </c>
      <c r="AX115">
        <v>0</v>
      </c>
      <c r="AY115">
        <v>1</v>
      </c>
      <c r="AZ115">
        <v>50</v>
      </c>
      <c r="BA115">
        <v>0</v>
      </c>
      <c r="BB115">
        <v>0</v>
      </c>
      <c r="BE115">
        <v>65</v>
      </c>
      <c r="BF115">
        <v>128.95150000000001</v>
      </c>
      <c r="BG115">
        <v>157.87200000000001</v>
      </c>
      <c r="BH115">
        <v>0</v>
      </c>
      <c r="BI115">
        <v>0</v>
      </c>
      <c r="BJ115">
        <v>0</v>
      </c>
      <c r="BK115">
        <v>0</v>
      </c>
      <c r="BL115">
        <v>0</v>
      </c>
      <c r="BM115">
        <v>0</v>
      </c>
      <c r="BN115">
        <v>0</v>
      </c>
      <c r="BO115">
        <v>0</v>
      </c>
      <c r="BP115">
        <v>0</v>
      </c>
      <c r="BQ115">
        <v>0</v>
      </c>
      <c r="BR115">
        <v>0</v>
      </c>
      <c r="BS115">
        <v>59</v>
      </c>
      <c r="BT115">
        <v>209.5908</v>
      </c>
      <c r="BU115">
        <v>65</v>
      </c>
      <c r="BV115">
        <v>232.87860000000001</v>
      </c>
      <c r="BW115">
        <v>0</v>
      </c>
      <c r="BX115">
        <v>0</v>
      </c>
      <c r="BY115">
        <v>1</v>
      </c>
      <c r="BZ115">
        <v>262.5</v>
      </c>
      <c r="CA115">
        <v>210</v>
      </c>
      <c r="CB115">
        <v>704.96939999999995</v>
      </c>
      <c r="CC115">
        <v>210</v>
      </c>
      <c r="CD115">
        <v>0</v>
      </c>
      <c r="CE115">
        <v>0</v>
      </c>
      <c r="CF115">
        <v>0</v>
      </c>
      <c r="CL115" t="s">
        <v>477</v>
      </c>
      <c r="CM115">
        <v>0</v>
      </c>
      <c r="CN115">
        <v>0</v>
      </c>
      <c r="CQ115" t="s">
        <v>477</v>
      </c>
      <c r="CR115">
        <v>0</v>
      </c>
      <c r="CS115">
        <v>0</v>
      </c>
      <c r="CU115">
        <v>0</v>
      </c>
      <c r="CV115">
        <v>0</v>
      </c>
      <c r="CW115" t="s">
        <v>477</v>
      </c>
      <c r="CX115">
        <v>0</v>
      </c>
      <c r="CY115">
        <v>0</v>
      </c>
      <c r="CZ115">
        <v>0</v>
      </c>
      <c r="DA115" t="s">
        <v>477</v>
      </c>
      <c r="DB115">
        <v>0</v>
      </c>
      <c r="DC115">
        <v>0</v>
      </c>
      <c r="DN115">
        <v>0</v>
      </c>
      <c r="DO115">
        <v>0</v>
      </c>
    </row>
    <row r="116" spans="2:119">
      <c r="B116" t="s">
        <v>474</v>
      </c>
      <c r="C116">
        <v>3</v>
      </c>
      <c r="D116" t="s">
        <v>472</v>
      </c>
      <c r="E116">
        <v>5</v>
      </c>
      <c r="F116" t="s">
        <v>640</v>
      </c>
      <c r="G116">
        <v>93</v>
      </c>
      <c r="H116" t="s">
        <v>597</v>
      </c>
      <c r="I116">
        <v>0</v>
      </c>
      <c r="J116">
        <v>1</v>
      </c>
      <c r="K116" t="s">
        <v>478</v>
      </c>
      <c r="L116" t="s">
        <v>479</v>
      </c>
      <c r="Y116">
        <v>96</v>
      </c>
      <c r="Z116">
        <v>75</v>
      </c>
      <c r="AA116">
        <v>93.86</v>
      </c>
      <c r="AB116">
        <v>75</v>
      </c>
      <c r="AC116">
        <v>29</v>
      </c>
      <c r="AF116">
        <v>75</v>
      </c>
      <c r="AG116">
        <v>52</v>
      </c>
      <c r="AH116">
        <v>63.062869999999997</v>
      </c>
      <c r="AI116">
        <v>75</v>
      </c>
      <c r="AJ116">
        <v>810</v>
      </c>
      <c r="AK116">
        <v>13770</v>
      </c>
      <c r="AL116">
        <v>19746.47</v>
      </c>
      <c r="AM116">
        <v>5460</v>
      </c>
      <c r="AN116">
        <v>25206.47</v>
      </c>
      <c r="AR116">
        <v>6211.97</v>
      </c>
      <c r="AS116">
        <v>871.21360000000004</v>
      </c>
      <c r="AT116">
        <v>387.94740000000002</v>
      </c>
      <c r="AU116" t="s">
        <v>476</v>
      </c>
      <c r="AV116">
        <v>0</v>
      </c>
      <c r="AW116">
        <v>0</v>
      </c>
      <c r="AX116">
        <v>0</v>
      </c>
      <c r="AY116">
        <v>1</v>
      </c>
      <c r="AZ116">
        <v>871.21360000000004</v>
      </c>
      <c r="BA116">
        <v>0</v>
      </c>
      <c r="BB116">
        <v>0</v>
      </c>
      <c r="BE116">
        <v>810</v>
      </c>
      <c r="BF116">
        <v>1566.1110000000001</v>
      </c>
      <c r="BG116">
        <v>1967.328</v>
      </c>
      <c r="BH116">
        <v>456.2</v>
      </c>
      <c r="BI116">
        <v>1411.992</v>
      </c>
      <c r="BJ116">
        <v>3485.6419999999998</v>
      </c>
      <c r="BK116">
        <v>30</v>
      </c>
      <c r="BL116">
        <v>1581.2370000000001</v>
      </c>
      <c r="BM116">
        <v>759</v>
      </c>
      <c r="BN116">
        <v>0</v>
      </c>
      <c r="BO116">
        <v>0</v>
      </c>
      <c r="BP116">
        <v>0</v>
      </c>
      <c r="BQ116">
        <v>0</v>
      </c>
      <c r="BR116">
        <v>0</v>
      </c>
      <c r="BS116">
        <v>1134</v>
      </c>
      <c r="BT116">
        <v>4062.8359999999998</v>
      </c>
      <c r="BU116">
        <v>1200</v>
      </c>
      <c r="BV116">
        <v>4299.2979999999998</v>
      </c>
      <c r="BW116">
        <v>0</v>
      </c>
      <c r="BX116">
        <v>0</v>
      </c>
      <c r="BY116">
        <v>26</v>
      </c>
      <c r="BZ116">
        <v>6825</v>
      </c>
      <c r="CA116">
        <v>5460</v>
      </c>
      <c r="CB116">
        <v>15187.13</v>
      </c>
      <c r="CC116">
        <v>5460</v>
      </c>
      <c r="CD116">
        <v>0</v>
      </c>
      <c r="CE116">
        <v>0</v>
      </c>
      <c r="CF116">
        <v>0</v>
      </c>
      <c r="CL116" t="s">
        <v>477</v>
      </c>
      <c r="CM116">
        <v>0</v>
      </c>
      <c r="CN116">
        <v>0</v>
      </c>
      <c r="CQ116" t="s">
        <v>477</v>
      </c>
      <c r="CR116">
        <v>0</v>
      </c>
      <c r="CS116">
        <v>0</v>
      </c>
      <c r="CU116">
        <v>0</v>
      </c>
      <c r="CV116">
        <v>0</v>
      </c>
      <c r="CW116" t="s">
        <v>477</v>
      </c>
      <c r="CX116">
        <v>0</v>
      </c>
      <c r="CY116">
        <v>0</v>
      </c>
      <c r="CZ116">
        <v>0</v>
      </c>
      <c r="DA116" t="s">
        <v>477</v>
      </c>
      <c r="DB116">
        <v>0</v>
      </c>
      <c r="DC116">
        <v>0</v>
      </c>
      <c r="DN116">
        <v>0</v>
      </c>
      <c r="DO116">
        <v>0</v>
      </c>
    </row>
    <row r="117" spans="2:119">
      <c r="B117" t="s">
        <v>474</v>
      </c>
      <c r="C117">
        <v>3</v>
      </c>
      <c r="D117" t="s">
        <v>472</v>
      </c>
      <c r="E117">
        <v>5</v>
      </c>
      <c r="F117" t="s">
        <v>640</v>
      </c>
      <c r="G117">
        <v>94</v>
      </c>
      <c r="H117" t="s">
        <v>598</v>
      </c>
      <c r="I117">
        <v>0</v>
      </c>
      <c r="J117">
        <v>1</v>
      </c>
      <c r="K117" t="s">
        <v>478</v>
      </c>
      <c r="L117" t="s">
        <v>564</v>
      </c>
      <c r="Y117">
        <v>96</v>
      </c>
      <c r="Z117">
        <v>75</v>
      </c>
      <c r="AA117">
        <v>77.382000000000005</v>
      </c>
      <c r="AB117">
        <v>70.292000000000002</v>
      </c>
      <c r="AC117">
        <v>29</v>
      </c>
      <c r="AF117">
        <v>75</v>
      </c>
      <c r="AG117">
        <v>52</v>
      </c>
      <c r="AH117">
        <v>63.062869999999997</v>
      </c>
      <c r="AI117">
        <v>75</v>
      </c>
      <c r="AJ117">
        <v>55</v>
      </c>
      <c r="AK117">
        <v>935</v>
      </c>
      <c r="AL117">
        <v>1260.0909999999999</v>
      </c>
      <c r="AM117">
        <v>210</v>
      </c>
      <c r="AN117">
        <v>1470.0909999999999</v>
      </c>
      <c r="AR117">
        <v>938.90319999999997</v>
      </c>
      <c r="AS117">
        <v>55.595170000000003</v>
      </c>
      <c r="AT117">
        <v>58.636000000000003</v>
      </c>
      <c r="AU117" t="s">
        <v>476</v>
      </c>
      <c r="AV117">
        <v>0</v>
      </c>
      <c r="AW117">
        <v>0</v>
      </c>
      <c r="AX117">
        <v>0</v>
      </c>
      <c r="AY117">
        <v>1</v>
      </c>
      <c r="AZ117">
        <v>58.636000000000003</v>
      </c>
      <c r="BA117">
        <v>0</v>
      </c>
      <c r="BB117">
        <v>0</v>
      </c>
      <c r="BE117">
        <v>55</v>
      </c>
      <c r="BF117">
        <v>20.408850000000001</v>
      </c>
      <c r="BG117">
        <v>133.584</v>
      </c>
      <c r="BH117">
        <v>105.4</v>
      </c>
      <c r="BI117">
        <v>504.2595</v>
      </c>
      <c r="BJ117">
        <v>805.31920000000002</v>
      </c>
      <c r="BK117">
        <v>0</v>
      </c>
      <c r="BL117">
        <v>0</v>
      </c>
      <c r="BM117">
        <v>0</v>
      </c>
      <c r="BN117">
        <v>0</v>
      </c>
      <c r="BO117">
        <v>0</v>
      </c>
      <c r="BP117">
        <v>0</v>
      </c>
      <c r="BQ117">
        <v>0</v>
      </c>
      <c r="BR117">
        <v>0</v>
      </c>
      <c r="BS117">
        <v>77</v>
      </c>
      <c r="BT117">
        <v>275.8716</v>
      </c>
      <c r="BU117">
        <v>55</v>
      </c>
      <c r="BV117">
        <v>197.05109999999999</v>
      </c>
      <c r="BW117">
        <v>0</v>
      </c>
      <c r="BX117">
        <v>0</v>
      </c>
      <c r="BY117">
        <v>1</v>
      </c>
      <c r="BZ117">
        <v>262.5</v>
      </c>
      <c r="CA117">
        <v>210</v>
      </c>
      <c r="CB117">
        <v>735.42269999999996</v>
      </c>
      <c r="CC117">
        <v>210</v>
      </c>
      <c r="CD117">
        <v>0</v>
      </c>
      <c r="CE117">
        <v>0</v>
      </c>
      <c r="CF117">
        <v>0</v>
      </c>
      <c r="CL117" t="s">
        <v>477</v>
      </c>
      <c r="CM117">
        <v>0</v>
      </c>
      <c r="CN117">
        <v>0</v>
      </c>
      <c r="CQ117" t="s">
        <v>477</v>
      </c>
      <c r="CR117">
        <v>0</v>
      </c>
      <c r="CS117">
        <v>0</v>
      </c>
      <c r="CU117">
        <v>0</v>
      </c>
      <c r="CV117">
        <v>0</v>
      </c>
      <c r="CW117" t="s">
        <v>477</v>
      </c>
      <c r="CX117">
        <v>0</v>
      </c>
      <c r="CY117">
        <v>0</v>
      </c>
      <c r="CZ117">
        <v>0</v>
      </c>
      <c r="DA117" t="s">
        <v>477</v>
      </c>
      <c r="DB117">
        <v>0</v>
      </c>
      <c r="DC117">
        <v>0</v>
      </c>
      <c r="DN117">
        <v>0</v>
      </c>
      <c r="DO117">
        <v>0</v>
      </c>
    </row>
    <row r="118" spans="2:119">
      <c r="B118" t="s">
        <v>474</v>
      </c>
      <c r="C118">
        <v>3</v>
      </c>
      <c r="D118" t="s">
        <v>472</v>
      </c>
      <c r="E118">
        <v>5</v>
      </c>
      <c r="F118" t="s">
        <v>640</v>
      </c>
      <c r="G118">
        <v>95</v>
      </c>
      <c r="H118" t="s">
        <v>599</v>
      </c>
      <c r="I118">
        <v>0</v>
      </c>
      <c r="J118">
        <v>1</v>
      </c>
      <c r="K118" t="s">
        <v>478</v>
      </c>
      <c r="L118" t="s">
        <v>482</v>
      </c>
      <c r="Y118">
        <v>96</v>
      </c>
      <c r="Z118">
        <v>75</v>
      </c>
      <c r="AA118">
        <v>95.358000000000004</v>
      </c>
      <c r="AB118">
        <v>75</v>
      </c>
      <c r="AC118">
        <v>29</v>
      </c>
      <c r="AF118">
        <v>75</v>
      </c>
      <c r="AG118">
        <v>52</v>
      </c>
      <c r="AH118">
        <v>63.062869999999997</v>
      </c>
      <c r="AI118">
        <v>75</v>
      </c>
      <c r="AJ118">
        <v>810</v>
      </c>
      <c r="AK118">
        <v>13770</v>
      </c>
      <c r="AL118">
        <v>18955.11</v>
      </c>
      <c r="AM118">
        <v>5460</v>
      </c>
      <c r="AN118">
        <v>24415.11</v>
      </c>
      <c r="AR118">
        <v>5250.7820000000002</v>
      </c>
      <c r="AS118">
        <v>836.29849999999999</v>
      </c>
      <c r="AT118">
        <v>327.91969999999998</v>
      </c>
      <c r="AU118" t="s">
        <v>476</v>
      </c>
      <c r="AV118">
        <v>0</v>
      </c>
      <c r="AW118">
        <v>0</v>
      </c>
      <c r="AX118">
        <v>0</v>
      </c>
      <c r="AY118">
        <v>1</v>
      </c>
      <c r="AZ118">
        <v>836.29849999999999</v>
      </c>
      <c r="BA118">
        <v>0</v>
      </c>
      <c r="BB118">
        <v>0</v>
      </c>
      <c r="BE118">
        <v>810</v>
      </c>
      <c r="BF118">
        <v>1606.9349999999999</v>
      </c>
      <c r="BG118">
        <v>1967.328</v>
      </c>
      <c r="BH118">
        <v>330.4</v>
      </c>
      <c r="BI118">
        <v>1371.175</v>
      </c>
      <c r="BJ118">
        <v>2524.4540000000002</v>
      </c>
      <c r="BK118">
        <v>30</v>
      </c>
      <c r="BL118">
        <v>789.86249999999995</v>
      </c>
      <c r="BM118">
        <v>759</v>
      </c>
      <c r="BN118">
        <v>0</v>
      </c>
      <c r="BO118">
        <v>0</v>
      </c>
      <c r="BP118">
        <v>0</v>
      </c>
      <c r="BQ118">
        <v>0</v>
      </c>
      <c r="BR118">
        <v>0</v>
      </c>
      <c r="BS118">
        <v>1134</v>
      </c>
      <c r="BT118">
        <v>4062.8359999999998</v>
      </c>
      <c r="BU118">
        <v>1200</v>
      </c>
      <c r="BV118">
        <v>4299.2979999999998</v>
      </c>
      <c r="BW118">
        <v>0</v>
      </c>
      <c r="BX118">
        <v>0</v>
      </c>
      <c r="BY118">
        <v>26</v>
      </c>
      <c r="BZ118">
        <v>6825</v>
      </c>
      <c r="CA118">
        <v>5460</v>
      </c>
      <c r="CB118">
        <v>15187.13</v>
      </c>
      <c r="CC118">
        <v>5460</v>
      </c>
      <c r="CD118">
        <v>0</v>
      </c>
      <c r="CE118">
        <v>0</v>
      </c>
      <c r="CF118">
        <v>0</v>
      </c>
      <c r="CL118" t="s">
        <v>477</v>
      </c>
      <c r="CM118">
        <v>0</v>
      </c>
      <c r="CN118">
        <v>0</v>
      </c>
      <c r="CQ118" t="s">
        <v>477</v>
      </c>
      <c r="CR118">
        <v>0</v>
      </c>
      <c r="CS118">
        <v>0</v>
      </c>
      <c r="CU118">
        <v>0</v>
      </c>
      <c r="CV118">
        <v>0</v>
      </c>
      <c r="CW118" t="s">
        <v>477</v>
      </c>
      <c r="CX118">
        <v>0</v>
      </c>
      <c r="CY118">
        <v>0</v>
      </c>
      <c r="CZ118">
        <v>0</v>
      </c>
      <c r="DA118" t="s">
        <v>477</v>
      </c>
      <c r="DB118">
        <v>0</v>
      </c>
      <c r="DC118">
        <v>0</v>
      </c>
      <c r="DN118">
        <v>0</v>
      </c>
      <c r="DO118">
        <v>0</v>
      </c>
    </row>
    <row r="119" spans="2:119">
      <c r="B119" t="s">
        <v>474</v>
      </c>
      <c r="C119">
        <v>3</v>
      </c>
      <c r="D119" t="s">
        <v>472</v>
      </c>
      <c r="E119">
        <v>5</v>
      </c>
      <c r="F119" t="s">
        <v>640</v>
      </c>
      <c r="G119">
        <v>96</v>
      </c>
      <c r="H119" t="s">
        <v>600</v>
      </c>
      <c r="I119">
        <v>0</v>
      </c>
      <c r="J119">
        <v>1</v>
      </c>
      <c r="K119" t="s">
        <v>478</v>
      </c>
      <c r="L119" t="s">
        <v>482</v>
      </c>
      <c r="Y119">
        <v>96</v>
      </c>
      <c r="Z119">
        <v>75</v>
      </c>
      <c r="AA119">
        <v>95.358000000000004</v>
      </c>
      <c r="AB119">
        <v>75</v>
      </c>
      <c r="AC119">
        <v>29</v>
      </c>
      <c r="AF119">
        <v>75</v>
      </c>
      <c r="AG119">
        <v>52</v>
      </c>
      <c r="AH119">
        <v>63.062869999999997</v>
      </c>
      <c r="AI119">
        <v>75</v>
      </c>
      <c r="AJ119">
        <v>55</v>
      </c>
      <c r="AK119">
        <v>935</v>
      </c>
      <c r="AL119">
        <v>746.00990000000002</v>
      </c>
      <c r="AM119">
        <v>210</v>
      </c>
      <c r="AN119">
        <v>956.00990000000002</v>
      </c>
      <c r="AR119">
        <v>133.584</v>
      </c>
      <c r="AS119">
        <v>50</v>
      </c>
      <c r="AT119">
        <v>8.3425340000000006</v>
      </c>
      <c r="AU119" t="s">
        <v>476</v>
      </c>
      <c r="AV119">
        <v>0</v>
      </c>
      <c r="AW119">
        <v>0</v>
      </c>
      <c r="AX119">
        <v>0</v>
      </c>
      <c r="AY119">
        <v>1</v>
      </c>
      <c r="AZ119">
        <v>50</v>
      </c>
      <c r="BA119">
        <v>0</v>
      </c>
      <c r="BB119">
        <v>0</v>
      </c>
      <c r="BE119">
        <v>55</v>
      </c>
      <c r="BF119">
        <v>109.11279999999999</v>
      </c>
      <c r="BG119">
        <v>133.584</v>
      </c>
      <c r="BH119">
        <v>0</v>
      </c>
      <c r="BI119">
        <v>0</v>
      </c>
      <c r="BJ119">
        <v>0</v>
      </c>
      <c r="BK119">
        <v>0</v>
      </c>
      <c r="BL119">
        <v>0</v>
      </c>
      <c r="BM119">
        <v>0</v>
      </c>
      <c r="BN119">
        <v>0</v>
      </c>
      <c r="BO119">
        <v>0</v>
      </c>
      <c r="BP119">
        <v>0</v>
      </c>
      <c r="BQ119">
        <v>0</v>
      </c>
      <c r="BR119">
        <v>0</v>
      </c>
      <c r="BS119">
        <v>50</v>
      </c>
      <c r="BT119">
        <v>177.346</v>
      </c>
      <c r="BU119">
        <v>55</v>
      </c>
      <c r="BV119">
        <v>197.05109999999999</v>
      </c>
      <c r="BW119">
        <v>0</v>
      </c>
      <c r="BX119">
        <v>0</v>
      </c>
      <c r="BY119">
        <v>1</v>
      </c>
      <c r="BZ119">
        <v>262.5</v>
      </c>
      <c r="CA119">
        <v>210</v>
      </c>
      <c r="CB119">
        <v>636.8972</v>
      </c>
      <c r="CC119">
        <v>210</v>
      </c>
      <c r="CD119">
        <v>0</v>
      </c>
      <c r="CE119">
        <v>0</v>
      </c>
      <c r="CF119">
        <v>0</v>
      </c>
      <c r="CL119" t="s">
        <v>477</v>
      </c>
      <c r="CM119">
        <v>0</v>
      </c>
      <c r="CN119">
        <v>0</v>
      </c>
      <c r="CQ119" t="s">
        <v>477</v>
      </c>
      <c r="CR119">
        <v>0</v>
      </c>
      <c r="CS119">
        <v>0</v>
      </c>
      <c r="CU119">
        <v>0</v>
      </c>
      <c r="CV119">
        <v>0</v>
      </c>
      <c r="CW119" t="s">
        <v>477</v>
      </c>
      <c r="CX119">
        <v>0</v>
      </c>
      <c r="CY119">
        <v>0</v>
      </c>
      <c r="CZ119">
        <v>0</v>
      </c>
      <c r="DA119" t="s">
        <v>477</v>
      </c>
      <c r="DB119">
        <v>0</v>
      </c>
      <c r="DC119">
        <v>0</v>
      </c>
      <c r="DN119">
        <v>0</v>
      </c>
      <c r="DO119">
        <v>0</v>
      </c>
    </row>
    <row r="120" spans="2:119">
      <c r="B120" t="s">
        <v>474</v>
      </c>
      <c r="C120">
        <v>3</v>
      </c>
      <c r="D120" t="s">
        <v>472</v>
      </c>
      <c r="E120">
        <v>5</v>
      </c>
      <c r="F120" t="s">
        <v>640</v>
      </c>
      <c r="G120">
        <v>97</v>
      </c>
      <c r="H120" t="s">
        <v>601</v>
      </c>
      <c r="I120">
        <v>0</v>
      </c>
      <c r="J120">
        <v>1</v>
      </c>
      <c r="K120" t="s">
        <v>478</v>
      </c>
      <c r="L120" t="s">
        <v>542</v>
      </c>
      <c r="Y120">
        <v>96</v>
      </c>
      <c r="Z120">
        <v>75</v>
      </c>
      <c r="AA120">
        <v>84.016000000000005</v>
      </c>
      <c r="AB120">
        <v>72.218000000000004</v>
      </c>
      <c r="AC120">
        <v>29</v>
      </c>
      <c r="AF120">
        <v>75</v>
      </c>
      <c r="AG120">
        <v>52</v>
      </c>
      <c r="AH120">
        <v>63.062869999999997</v>
      </c>
      <c r="AI120">
        <v>75</v>
      </c>
      <c r="AJ120">
        <v>550</v>
      </c>
      <c r="AK120">
        <v>9350</v>
      </c>
      <c r="AL120">
        <v>20447.95</v>
      </c>
      <c r="AM120">
        <v>5460</v>
      </c>
      <c r="AN120">
        <v>25907.95</v>
      </c>
      <c r="AR120">
        <v>5753.326</v>
      </c>
      <c r="AS120">
        <v>902.16290000000004</v>
      </c>
      <c r="AT120">
        <v>359.30439999999999</v>
      </c>
      <c r="AU120" t="s">
        <v>476</v>
      </c>
      <c r="AV120">
        <v>0</v>
      </c>
      <c r="AW120">
        <v>0</v>
      </c>
      <c r="AX120">
        <v>0</v>
      </c>
      <c r="AY120">
        <v>1</v>
      </c>
      <c r="AZ120">
        <v>902.16290000000004</v>
      </c>
      <c r="BA120">
        <v>0</v>
      </c>
      <c r="BB120">
        <v>0</v>
      </c>
      <c r="BE120">
        <v>550</v>
      </c>
      <c r="BF120">
        <v>356.54849999999999</v>
      </c>
      <c r="BG120">
        <v>1335.84</v>
      </c>
      <c r="BH120">
        <v>137.1</v>
      </c>
      <c r="BI120">
        <v>460.28519999999997</v>
      </c>
      <c r="BJ120">
        <v>1047.5260000000001</v>
      </c>
      <c r="BK120">
        <v>133.19999999999999</v>
      </c>
      <c r="BL120">
        <v>5748.1059999999998</v>
      </c>
      <c r="BM120">
        <v>3369.96</v>
      </c>
      <c r="BN120">
        <v>0</v>
      </c>
      <c r="BO120">
        <v>0</v>
      </c>
      <c r="BP120">
        <v>0</v>
      </c>
      <c r="BQ120">
        <v>0</v>
      </c>
      <c r="BR120">
        <v>0</v>
      </c>
      <c r="BS120">
        <v>770</v>
      </c>
      <c r="BT120">
        <v>2758.7159999999999</v>
      </c>
      <c r="BU120">
        <v>1200</v>
      </c>
      <c r="BV120">
        <v>4299.2979999999998</v>
      </c>
      <c r="BW120">
        <v>0</v>
      </c>
      <c r="BX120">
        <v>0</v>
      </c>
      <c r="BY120">
        <v>26</v>
      </c>
      <c r="BZ120">
        <v>6825</v>
      </c>
      <c r="CA120">
        <v>5460</v>
      </c>
      <c r="CB120">
        <v>13883.01</v>
      </c>
      <c r="CC120">
        <v>5460</v>
      </c>
      <c r="CD120">
        <v>0</v>
      </c>
      <c r="CE120">
        <v>0</v>
      </c>
      <c r="CF120">
        <v>0</v>
      </c>
      <c r="CL120" t="s">
        <v>477</v>
      </c>
      <c r="CM120">
        <v>0</v>
      </c>
      <c r="CN120">
        <v>0</v>
      </c>
      <c r="CQ120" t="s">
        <v>477</v>
      </c>
      <c r="CR120">
        <v>0</v>
      </c>
      <c r="CS120">
        <v>0</v>
      </c>
      <c r="CU120">
        <v>0</v>
      </c>
      <c r="CV120">
        <v>0</v>
      </c>
      <c r="CW120" t="s">
        <v>477</v>
      </c>
      <c r="CX120">
        <v>0</v>
      </c>
      <c r="CY120">
        <v>0</v>
      </c>
      <c r="CZ120">
        <v>0</v>
      </c>
      <c r="DA120" t="s">
        <v>477</v>
      </c>
      <c r="DB120">
        <v>0</v>
      </c>
      <c r="DC120">
        <v>0</v>
      </c>
      <c r="DN120">
        <v>0</v>
      </c>
      <c r="DO120">
        <v>0</v>
      </c>
    </row>
    <row r="121" spans="2:119">
      <c r="B121" t="s">
        <v>474</v>
      </c>
      <c r="C121">
        <v>3</v>
      </c>
      <c r="D121" t="s">
        <v>472</v>
      </c>
      <c r="E121">
        <v>5</v>
      </c>
      <c r="F121" t="s">
        <v>640</v>
      </c>
      <c r="G121">
        <v>98</v>
      </c>
      <c r="H121" t="s">
        <v>538</v>
      </c>
      <c r="I121">
        <v>0</v>
      </c>
      <c r="J121">
        <v>1</v>
      </c>
      <c r="K121" t="s">
        <v>478</v>
      </c>
      <c r="L121" t="s">
        <v>482</v>
      </c>
      <c r="Y121">
        <v>96</v>
      </c>
      <c r="Z121">
        <v>75</v>
      </c>
      <c r="AA121">
        <v>95.358000000000004</v>
      </c>
      <c r="AB121">
        <v>75</v>
      </c>
      <c r="AC121">
        <v>29</v>
      </c>
      <c r="AF121">
        <v>75</v>
      </c>
      <c r="AG121">
        <v>52</v>
      </c>
      <c r="AH121">
        <v>63.062869999999997</v>
      </c>
      <c r="AI121">
        <v>75</v>
      </c>
      <c r="AJ121">
        <v>540</v>
      </c>
      <c r="AK121">
        <v>9180</v>
      </c>
      <c r="AL121">
        <v>5714.5309999999999</v>
      </c>
      <c r="AM121">
        <v>0</v>
      </c>
      <c r="AN121">
        <v>5714.5309999999999</v>
      </c>
      <c r="AR121">
        <v>1311.5519999999999</v>
      </c>
      <c r="AS121">
        <v>324</v>
      </c>
      <c r="AT121">
        <v>81.908519999999996</v>
      </c>
      <c r="AU121" t="s">
        <v>476</v>
      </c>
      <c r="AV121">
        <v>0</v>
      </c>
      <c r="AW121">
        <v>0</v>
      </c>
      <c r="AX121">
        <v>0</v>
      </c>
      <c r="AY121">
        <v>1</v>
      </c>
      <c r="AZ121">
        <v>324</v>
      </c>
      <c r="BA121">
        <v>0</v>
      </c>
      <c r="BB121">
        <v>0</v>
      </c>
      <c r="BE121">
        <v>540</v>
      </c>
      <c r="BF121">
        <v>1071.29</v>
      </c>
      <c r="BG121">
        <v>1311.5519999999999</v>
      </c>
      <c r="BH121">
        <v>0</v>
      </c>
      <c r="BI121">
        <v>0</v>
      </c>
      <c r="BJ121">
        <v>0</v>
      </c>
      <c r="BK121">
        <v>0</v>
      </c>
      <c r="BL121">
        <v>0</v>
      </c>
      <c r="BM121">
        <v>0</v>
      </c>
      <c r="BN121">
        <v>0</v>
      </c>
      <c r="BO121">
        <v>0</v>
      </c>
      <c r="BP121">
        <v>0</v>
      </c>
      <c r="BQ121">
        <v>0</v>
      </c>
      <c r="BR121">
        <v>0</v>
      </c>
      <c r="BS121">
        <v>756</v>
      </c>
      <c r="BT121">
        <v>2708.5569999999998</v>
      </c>
      <c r="BU121">
        <v>540</v>
      </c>
      <c r="BV121">
        <v>1934.684</v>
      </c>
      <c r="BW121">
        <v>0</v>
      </c>
      <c r="BX121">
        <v>0</v>
      </c>
      <c r="BY121">
        <v>0</v>
      </c>
      <c r="BZ121">
        <v>0</v>
      </c>
      <c r="CA121">
        <v>0</v>
      </c>
      <c r="CB121">
        <v>4643.241</v>
      </c>
      <c r="CC121">
        <v>0</v>
      </c>
      <c r="CD121">
        <v>0</v>
      </c>
      <c r="CE121">
        <v>0</v>
      </c>
      <c r="CF121">
        <v>0</v>
      </c>
      <c r="CL121" t="s">
        <v>477</v>
      </c>
      <c r="CM121">
        <v>0</v>
      </c>
      <c r="CN121">
        <v>0</v>
      </c>
      <c r="CQ121" t="s">
        <v>477</v>
      </c>
      <c r="CR121">
        <v>0</v>
      </c>
      <c r="CS121">
        <v>0</v>
      </c>
      <c r="CU121">
        <v>0</v>
      </c>
      <c r="CV121">
        <v>0</v>
      </c>
      <c r="CW121" t="s">
        <v>477</v>
      </c>
      <c r="CX121">
        <v>0</v>
      </c>
      <c r="CY121">
        <v>0</v>
      </c>
      <c r="CZ121">
        <v>0</v>
      </c>
      <c r="DA121" t="s">
        <v>477</v>
      </c>
      <c r="DB121">
        <v>0</v>
      </c>
      <c r="DC121">
        <v>0</v>
      </c>
      <c r="DN121">
        <v>0</v>
      </c>
      <c r="DO121">
        <v>0</v>
      </c>
    </row>
    <row r="122" spans="2:119">
      <c r="B122" t="s">
        <v>474</v>
      </c>
      <c r="C122">
        <v>3</v>
      </c>
      <c r="D122" t="s">
        <v>472</v>
      </c>
      <c r="E122">
        <v>5</v>
      </c>
      <c r="F122" t="s">
        <v>640</v>
      </c>
      <c r="G122">
        <v>99</v>
      </c>
      <c r="H122" t="s">
        <v>602</v>
      </c>
      <c r="I122">
        <v>0</v>
      </c>
      <c r="J122">
        <v>1</v>
      </c>
      <c r="K122" t="s">
        <v>478</v>
      </c>
      <c r="L122" t="s">
        <v>479</v>
      </c>
      <c r="Y122">
        <v>96</v>
      </c>
      <c r="Z122">
        <v>75</v>
      </c>
      <c r="AA122">
        <v>93.86</v>
      </c>
      <c r="AB122">
        <v>75</v>
      </c>
      <c r="AC122">
        <v>29</v>
      </c>
      <c r="AF122">
        <v>75</v>
      </c>
      <c r="AG122">
        <v>52</v>
      </c>
      <c r="AH122">
        <v>63.062869999999997</v>
      </c>
      <c r="AI122">
        <v>75</v>
      </c>
      <c r="AJ122">
        <v>810</v>
      </c>
      <c r="AK122">
        <v>13770</v>
      </c>
      <c r="AL122">
        <v>19443.73</v>
      </c>
      <c r="AM122">
        <v>5460</v>
      </c>
      <c r="AN122">
        <v>24903.73</v>
      </c>
      <c r="AR122">
        <v>5250.7820000000002</v>
      </c>
      <c r="AS122">
        <v>857.85659999999996</v>
      </c>
      <c r="AT122">
        <v>327.91969999999998</v>
      </c>
      <c r="AU122" t="s">
        <v>476</v>
      </c>
      <c r="AV122">
        <v>0</v>
      </c>
      <c r="AW122">
        <v>0</v>
      </c>
      <c r="AX122">
        <v>0</v>
      </c>
      <c r="AY122">
        <v>1</v>
      </c>
      <c r="AZ122">
        <v>857.85659999999996</v>
      </c>
      <c r="BA122">
        <v>0</v>
      </c>
      <c r="BB122">
        <v>0</v>
      </c>
      <c r="BE122">
        <v>810</v>
      </c>
      <c r="BF122">
        <v>1566.1110000000001</v>
      </c>
      <c r="BG122">
        <v>1967.328</v>
      </c>
      <c r="BH122">
        <v>330.4</v>
      </c>
      <c r="BI122">
        <v>1109.251</v>
      </c>
      <c r="BJ122">
        <v>2524.4540000000002</v>
      </c>
      <c r="BK122">
        <v>30</v>
      </c>
      <c r="BL122">
        <v>1581.2370000000001</v>
      </c>
      <c r="BM122">
        <v>759</v>
      </c>
      <c r="BN122">
        <v>0</v>
      </c>
      <c r="BO122">
        <v>0</v>
      </c>
      <c r="BP122">
        <v>0</v>
      </c>
      <c r="BQ122">
        <v>0</v>
      </c>
      <c r="BR122">
        <v>0</v>
      </c>
      <c r="BS122">
        <v>1134</v>
      </c>
      <c r="BT122">
        <v>4062.8359999999998</v>
      </c>
      <c r="BU122">
        <v>1200</v>
      </c>
      <c r="BV122">
        <v>4299.2979999999998</v>
      </c>
      <c r="BW122">
        <v>0</v>
      </c>
      <c r="BX122">
        <v>0</v>
      </c>
      <c r="BY122">
        <v>26</v>
      </c>
      <c r="BZ122">
        <v>6825</v>
      </c>
      <c r="CA122">
        <v>5460</v>
      </c>
      <c r="CB122">
        <v>15187.13</v>
      </c>
      <c r="CC122">
        <v>5460</v>
      </c>
      <c r="CD122">
        <v>0</v>
      </c>
      <c r="CE122">
        <v>0</v>
      </c>
      <c r="CF122">
        <v>0</v>
      </c>
      <c r="CL122" t="s">
        <v>477</v>
      </c>
      <c r="CM122">
        <v>0</v>
      </c>
      <c r="CN122">
        <v>0</v>
      </c>
      <c r="CQ122" t="s">
        <v>477</v>
      </c>
      <c r="CR122">
        <v>0</v>
      </c>
      <c r="CS122">
        <v>0</v>
      </c>
      <c r="CU122">
        <v>0</v>
      </c>
      <c r="CV122">
        <v>0</v>
      </c>
      <c r="CW122" t="s">
        <v>477</v>
      </c>
      <c r="CX122">
        <v>0</v>
      </c>
      <c r="CY122">
        <v>0</v>
      </c>
      <c r="CZ122">
        <v>0</v>
      </c>
      <c r="DA122" t="s">
        <v>477</v>
      </c>
      <c r="DB122">
        <v>0</v>
      </c>
      <c r="DC122">
        <v>0</v>
      </c>
      <c r="DN122">
        <v>0</v>
      </c>
      <c r="DO122">
        <v>0</v>
      </c>
    </row>
    <row r="123" spans="2:119">
      <c r="B123" t="s">
        <v>474</v>
      </c>
      <c r="C123">
        <v>3</v>
      </c>
      <c r="D123" t="s">
        <v>472</v>
      </c>
      <c r="E123">
        <v>5</v>
      </c>
      <c r="F123" t="s">
        <v>640</v>
      </c>
      <c r="G123">
        <v>100</v>
      </c>
      <c r="H123" t="s">
        <v>603</v>
      </c>
      <c r="I123">
        <v>0</v>
      </c>
      <c r="J123">
        <v>1</v>
      </c>
      <c r="K123" t="s">
        <v>478</v>
      </c>
      <c r="L123" t="s">
        <v>479</v>
      </c>
      <c r="Y123">
        <v>96</v>
      </c>
      <c r="Z123">
        <v>75</v>
      </c>
      <c r="AA123">
        <v>93.86</v>
      </c>
      <c r="AB123">
        <v>75</v>
      </c>
      <c r="AC123">
        <v>29</v>
      </c>
      <c r="AF123">
        <v>75</v>
      </c>
      <c r="AG123">
        <v>52</v>
      </c>
      <c r="AH123">
        <v>63.062869999999997</v>
      </c>
      <c r="AI123">
        <v>75</v>
      </c>
      <c r="AJ123">
        <v>775</v>
      </c>
      <c r="AK123">
        <v>13175</v>
      </c>
      <c r="AL123">
        <v>21265.55</v>
      </c>
      <c r="AM123">
        <v>5460</v>
      </c>
      <c r="AN123">
        <v>26725.55</v>
      </c>
      <c r="AR123">
        <v>9582.0409999999993</v>
      </c>
      <c r="AS123">
        <v>938.23509999999999</v>
      </c>
      <c r="AT123">
        <v>598.41380000000004</v>
      </c>
      <c r="AU123" t="s">
        <v>476</v>
      </c>
      <c r="AV123">
        <v>0</v>
      </c>
      <c r="AW123">
        <v>0</v>
      </c>
      <c r="AX123">
        <v>0</v>
      </c>
      <c r="AY123">
        <v>1</v>
      </c>
      <c r="AZ123">
        <v>938.23509999999999</v>
      </c>
      <c r="BA123">
        <v>0</v>
      </c>
      <c r="BB123">
        <v>0</v>
      </c>
      <c r="BE123">
        <v>775</v>
      </c>
      <c r="BF123">
        <v>1498.4390000000001</v>
      </c>
      <c r="BG123">
        <v>1882.32</v>
      </c>
      <c r="BH123">
        <v>908.4</v>
      </c>
      <c r="BI123">
        <v>3174.2930000000001</v>
      </c>
      <c r="BJ123">
        <v>6940.7209999999995</v>
      </c>
      <c r="BK123">
        <v>30</v>
      </c>
      <c r="BL123">
        <v>1581.2370000000001</v>
      </c>
      <c r="BM123">
        <v>759</v>
      </c>
      <c r="BN123">
        <v>0</v>
      </c>
      <c r="BO123">
        <v>0</v>
      </c>
      <c r="BP123">
        <v>0</v>
      </c>
      <c r="BQ123">
        <v>0</v>
      </c>
      <c r="BR123">
        <v>0</v>
      </c>
      <c r="BS123">
        <v>1085</v>
      </c>
      <c r="BT123">
        <v>3887.2809999999999</v>
      </c>
      <c r="BU123">
        <v>1200</v>
      </c>
      <c r="BV123">
        <v>4299.2979999999998</v>
      </c>
      <c r="BW123">
        <v>0</v>
      </c>
      <c r="BX123">
        <v>0</v>
      </c>
      <c r="BY123">
        <v>26</v>
      </c>
      <c r="BZ123">
        <v>6825</v>
      </c>
      <c r="CA123">
        <v>5460</v>
      </c>
      <c r="CB123">
        <v>15011.58</v>
      </c>
      <c r="CC123">
        <v>5460</v>
      </c>
      <c r="CD123">
        <v>0</v>
      </c>
      <c r="CE123">
        <v>0</v>
      </c>
      <c r="CF123">
        <v>0</v>
      </c>
      <c r="CL123" t="s">
        <v>477</v>
      </c>
      <c r="CM123">
        <v>0</v>
      </c>
      <c r="CN123">
        <v>0</v>
      </c>
      <c r="CQ123" t="s">
        <v>477</v>
      </c>
      <c r="CR123">
        <v>0</v>
      </c>
      <c r="CS123">
        <v>0</v>
      </c>
      <c r="CU123">
        <v>0</v>
      </c>
      <c r="CV123">
        <v>0</v>
      </c>
      <c r="CW123" t="s">
        <v>477</v>
      </c>
      <c r="CX123">
        <v>0</v>
      </c>
      <c r="CY123">
        <v>0</v>
      </c>
      <c r="CZ123">
        <v>0</v>
      </c>
      <c r="DA123" t="s">
        <v>477</v>
      </c>
      <c r="DB123">
        <v>0</v>
      </c>
      <c r="DC123">
        <v>0</v>
      </c>
      <c r="DN123">
        <v>0</v>
      </c>
      <c r="DO123">
        <v>0</v>
      </c>
    </row>
    <row r="124" spans="2:119">
      <c r="B124" t="s">
        <v>474</v>
      </c>
      <c r="C124">
        <v>3</v>
      </c>
      <c r="D124" t="s">
        <v>472</v>
      </c>
      <c r="E124">
        <v>5</v>
      </c>
      <c r="F124" t="s">
        <v>640</v>
      </c>
      <c r="G124">
        <v>101</v>
      </c>
      <c r="H124" t="s">
        <v>604</v>
      </c>
      <c r="I124">
        <v>0</v>
      </c>
      <c r="J124">
        <v>1</v>
      </c>
      <c r="K124" t="s">
        <v>478</v>
      </c>
      <c r="L124" t="s">
        <v>479</v>
      </c>
      <c r="Y124">
        <v>96</v>
      </c>
      <c r="Z124">
        <v>75</v>
      </c>
      <c r="AA124">
        <v>93.86</v>
      </c>
      <c r="AB124">
        <v>75</v>
      </c>
      <c r="AC124">
        <v>29</v>
      </c>
      <c r="AF124">
        <v>75</v>
      </c>
      <c r="AG124">
        <v>52</v>
      </c>
      <c r="AH124">
        <v>63.062869999999997</v>
      </c>
      <c r="AI124">
        <v>75</v>
      </c>
      <c r="AJ124">
        <v>775</v>
      </c>
      <c r="AK124">
        <v>13175</v>
      </c>
      <c r="AL124">
        <v>21265.55</v>
      </c>
      <c r="AM124">
        <v>5460</v>
      </c>
      <c r="AN124">
        <v>26725.55</v>
      </c>
      <c r="AR124">
        <v>9582.0409999999993</v>
      </c>
      <c r="AS124">
        <v>938.23509999999999</v>
      </c>
      <c r="AT124">
        <v>598.41380000000004</v>
      </c>
      <c r="AU124" t="s">
        <v>476</v>
      </c>
      <c r="AV124">
        <v>0</v>
      </c>
      <c r="AW124">
        <v>0</v>
      </c>
      <c r="AX124">
        <v>0</v>
      </c>
      <c r="AY124">
        <v>1</v>
      </c>
      <c r="AZ124">
        <v>938.23509999999999</v>
      </c>
      <c r="BA124">
        <v>0</v>
      </c>
      <c r="BB124">
        <v>0</v>
      </c>
      <c r="BE124">
        <v>775</v>
      </c>
      <c r="BF124">
        <v>1498.4390000000001</v>
      </c>
      <c r="BG124">
        <v>1882.32</v>
      </c>
      <c r="BH124">
        <v>908.4</v>
      </c>
      <c r="BI124">
        <v>3174.2930000000001</v>
      </c>
      <c r="BJ124">
        <v>6940.7209999999995</v>
      </c>
      <c r="BK124">
        <v>30</v>
      </c>
      <c r="BL124">
        <v>1581.2370000000001</v>
      </c>
      <c r="BM124">
        <v>759</v>
      </c>
      <c r="BN124">
        <v>0</v>
      </c>
      <c r="BO124">
        <v>0</v>
      </c>
      <c r="BP124">
        <v>0</v>
      </c>
      <c r="BQ124">
        <v>0</v>
      </c>
      <c r="BR124">
        <v>0</v>
      </c>
      <c r="BS124">
        <v>1085</v>
      </c>
      <c r="BT124">
        <v>3887.2809999999999</v>
      </c>
      <c r="BU124">
        <v>1200</v>
      </c>
      <c r="BV124">
        <v>4299.2979999999998</v>
      </c>
      <c r="BW124">
        <v>0</v>
      </c>
      <c r="BX124">
        <v>0</v>
      </c>
      <c r="BY124">
        <v>26</v>
      </c>
      <c r="BZ124">
        <v>6825</v>
      </c>
      <c r="CA124">
        <v>5460</v>
      </c>
      <c r="CB124">
        <v>15011.58</v>
      </c>
      <c r="CC124">
        <v>5460</v>
      </c>
      <c r="CD124">
        <v>0</v>
      </c>
      <c r="CE124">
        <v>0</v>
      </c>
      <c r="CF124">
        <v>0</v>
      </c>
      <c r="CL124" t="s">
        <v>477</v>
      </c>
      <c r="CM124">
        <v>0</v>
      </c>
      <c r="CN124">
        <v>0</v>
      </c>
      <c r="CQ124" t="s">
        <v>477</v>
      </c>
      <c r="CR124">
        <v>0</v>
      </c>
      <c r="CS124">
        <v>0</v>
      </c>
      <c r="CU124">
        <v>0</v>
      </c>
      <c r="CV124">
        <v>0</v>
      </c>
      <c r="CW124" t="s">
        <v>477</v>
      </c>
      <c r="CX124">
        <v>0</v>
      </c>
      <c r="CY124">
        <v>0</v>
      </c>
      <c r="CZ124">
        <v>0</v>
      </c>
      <c r="DA124" t="s">
        <v>477</v>
      </c>
      <c r="DB124">
        <v>0</v>
      </c>
      <c r="DC124">
        <v>0</v>
      </c>
      <c r="DN124">
        <v>0</v>
      </c>
      <c r="DO124">
        <v>0</v>
      </c>
    </row>
    <row r="125" spans="2:119">
      <c r="B125" t="s">
        <v>474</v>
      </c>
      <c r="C125">
        <v>3</v>
      </c>
      <c r="D125" t="s">
        <v>472</v>
      </c>
      <c r="E125">
        <v>5</v>
      </c>
      <c r="F125" t="s">
        <v>640</v>
      </c>
      <c r="G125">
        <v>102</v>
      </c>
      <c r="H125" t="s">
        <v>605</v>
      </c>
      <c r="I125">
        <v>0</v>
      </c>
      <c r="J125">
        <v>1</v>
      </c>
      <c r="K125" t="s">
        <v>478</v>
      </c>
      <c r="L125" t="s">
        <v>564</v>
      </c>
      <c r="Y125">
        <v>96</v>
      </c>
      <c r="Z125">
        <v>75</v>
      </c>
      <c r="AA125">
        <v>77.382000000000005</v>
      </c>
      <c r="AB125">
        <v>70.292000000000002</v>
      </c>
      <c r="AC125">
        <v>29</v>
      </c>
      <c r="AF125">
        <v>75</v>
      </c>
      <c r="AG125">
        <v>52</v>
      </c>
      <c r="AH125">
        <v>63.062869999999997</v>
      </c>
      <c r="AI125">
        <v>75</v>
      </c>
      <c r="AJ125">
        <v>55</v>
      </c>
      <c r="AK125">
        <v>935</v>
      </c>
      <c r="AL125">
        <v>1440.8979999999999</v>
      </c>
      <c r="AM125">
        <v>0</v>
      </c>
      <c r="AN125">
        <v>1440.8979999999999</v>
      </c>
      <c r="AR125">
        <v>2042.97</v>
      </c>
      <c r="AS125">
        <v>63.572369999999999</v>
      </c>
      <c r="AT125">
        <v>127.58669999999999</v>
      </c>
      <c r="AU125" t="s">
        <v>476</v>
      </c>
      <c r="AV125">
        <v>0</v>
      </c>
      <c r="AW125">
        <v>0</v>
      </c>
      <c r="AX125">
        <v>0</v>
      </c>
      <c r="AY125">
        <v>1</v>
      </c>
      <c r="AZ125">
        <v>127.58669999999999</v>
      </c>
      <c r="BA125">
        <v>0</v>
      </c>
      <c r="BB125">
        <v>0</v>
      </c>
      <c r="BE125">
        <v>55</v>
      </c>
      <c r="BF125">
        <v>20.408850000000001</v>
      </c>
      <c r="BG125">
        <v>133.584</v>
      </c>
      <c r="BH125">
        <v>249.9</v>
      </c>
      <c r="BI125">
        <v>1046.0920000000001</v>
      </c>
      <c r="BJ125">
        <v>1909.386</v>
      </c>
      <c r="BK125">
        <v>0</v>
      </c>
      <c r="BL125">
        <v>0</v>
      </c>
      <c r="BM125">
        <v>0</v>
      </c>
      <c r="BN125">
        <v>0</v>
      </c>
      <c r="BO125">
        <v>0</v>
      </c>
      <c r="BP125">
        <v>0</v>
      </c>
      <c r="BQ125">
        <v>0</v>
      </c>
      <c r="BR125">
        <v>0</v>
      </c>
      <c r="BS125">
        <v>50</v>
      </c>
      <c r="BT125">
        <v>177.346</v>
      </c>
      <c r="BU125">
        <v>55</v>
      </c>
      <c r="BV125">
        <v>197.05109999999999</v>
      </c>
      <c r="BW125">
        <v>0</v>
      </c>
      <c r="BX125">
        <v>0</v>
      </c>
      <c r="BY125">
        <v>0</v>
      </c>
      <c r="BZ125">
        <v>0</v>
      </c>
      <c r="CA125">
        <v>0</v>
      </c>
      <c r="CB125">
        <v>374.3972</v>
      </c>
      <c r="CC125">
        <v>0</v>
      </c>
      <c r="CD125">
        <v>0</v>
      </c>
      <c r="CE125">
        <v>0</v>
      </c>
      <c r="CF125">
        <v>0</v>
      </c>
      <c r="CL125" t="s">
        <v>477</v>
      </c>
      <c r="CM125">
        <v>0</v>
      </c>
      <c r="CN125">
        <v>0</v>
      </c>
      <c r="CQ125" t="s">
        <v>477</v>
      </c>
      <c r="CR125">
        <v>0</v>
      </c>
      <c r="CS125">
        <v>0</v>
      </c>
      <c r="CU125">
        <v>0</v>
      </c>
      <c r="CV125">
        <v>0</v>
      </c>
      <c r="CW125" t="s">
        <v>477</v>
      </c>
      <c r="CX125">
        <v>0</v>
      </c>
      <c r="CY125">
        <v>0</v>
      </c>
      <c r="CZ125">
        <v>0</v>
      </c>
      <c r="DA125" t="s">
        <v>477</v>
      </c>
      <c r="DB125">
        <v>0</v>
      </c>
      <c r="DC125">
        <v>0</v>
      </c>
      <c r="DN125">
        <v>0</v>
      </c>
      <c r="DO125">
        <v>0</v>
      </c>
    </row>
    <row r="126" spans="2:119">
      <c r="B126" t="s">
        <v>474</v>
      </c>
      <c r="C126">
        <v>3</v>
      </c>
      <c r="D126" t="s">
        <v>472</v>
      </c>
      <c r="E126">
        <v>5</v>
      </c>
      <c r="F126" t="s">
        <v>640</v>
      </c>
      <c r="G126">
        <v>103</v>
      </c>
      <c r="H126" t="s">
        <v>606</v>
      </c>
      <c r="I126">
        <v>0</v>
      </c>
      <c r="J126">
        <v>1</v>
      </c>
      <c r="K126" t="s">
        <v>478</v>
      </c>
      <c r="L126" t="s">
        <v>522</v>
      </c>
      <c r="Y126">
        <v>96</v>
      </c>
      <c r="Z126">
        <v>75</v>
      </c>
      <c r="AA126">
        <v>95.358000000000004</v>
      </c>
      <c r="AB126">
        <v>75</v>
      </c>
      <c r="AC126">
        <v>29</v>
      </c>
      <c r="AF126">
        <v>75</v>
      </c>
      <c r="AG126">
        <v>52</v>
      </c>
      <c r="AH126">
        <v>63.062869999999997</v>
      </c>
      <c r="AI126">
        <v>75</v>
      </c>
      <c r="AJ126">
        <v>370</v>
      </c>
      <c r="AK126">
        <v>6290</v>
      </c>
      <c r="AL126">
        <v>6191.0079999999998</v>
      </c>
      <c r="AM126">
        <v>0</v>
      </c>
      <c r="AN126">
        <v>6191.0079999999998</v>
      </c>
      <c r="AR126">
        <v>3209.2539999999999</v>
      </c>
      <c r="AS126">
        <v>273.14699999999999</v>
      </c>
      <c r="AT126">
        <v>200.423</v>
      </c>
      <c r="AU126" t="s">
        <v>476</v>
      </c>
      <c r="AV126">
        <v>0</v>
      </c>
      <c r="AW126">
        <v>0</v>
      </c>
      <c r="AX126">
        <v>0</v>
      </c>
      <c r="AY126">
        <v>1</v>
      </c>
      <c r="AZ126">
        <v>273.14699999999999</v>
      </c>
      <c r="BA126">
        <v>0</v>
      </c>
      <c r="BB126">
        <v>0</v>
      </c>
      <c r="BE126">
        <v>370</v>
      </c>
      <c r="BF126">
        <v>650.11590000000001</v>
      </c>
      <c r="BG126">
        <v>898.65610000000004</v>
      </c>
      <c r="BH126">
        <v>64</v>
      </c>
      <c r="BI126">
        <v>180.62010000000001</v>
      </c>
      <c r="BJ126">
        <v>488.9984</v>
      </c>
      <c r="BK126">
        <v>72</v>
      </c>
      <c r="BL126">
        <v>2178.7919999999999</v>
      </c>
      <c r="BM126">
        <v>1821.6</v>
      </c>
      <c r="BN126">
        <v>0</v>
      </c>
      <c r="BO126">
        <v>0</v>
      </c>
      <c r="BP126">
        <v>0</v>
      </c>
      <c r="BQ126">
        <v>0</v>
      </c>
      <c r="BR126">
        <v>0</v>
      </c>
      <c r="BS126">
        <v>518</v>
      </c>
      <c r="BT126">
        <v>1855.864</v>
      </c>
      <c r="BU126">
        <v>370</v>
      </c>
      <c r="BV126">
        <v>1325.617</v>
      </c>
      <c r="BW126">
        <v>0</v>
      </c>
      <c r="BX126">
        <v>0</v>
      </c>
      <c r="BY126">
        <v>0</v>
      </c>
      <c r="BZ126">
        <v>0</v>
      </c>
      <c r="CA126">
        <v>0</v>
      </c>
      <c r="CB126">
        <v>3181.48</v>
      </c>
      <c r="CC126">
        <v>0</v>
      </c>
      <c r="CD126">
        <v>0</v>
      </c>
      <c r="CE126">
        <v>0</v>
      </c>
      <c r="CF126">
        <v>0</v>
      </c>
      <c r="CL126" t="s">
        <v>477</v>
      </c>
      <c r="CM126">
        <v>0</v>
      </c>
      <c r="CN126">
        <v>0</v>
      </c>
      <c r="CQ126" t="s">
        <v>477</v>
      </c>
      <c r="CR126">
        <v>0</v>
      </c>
      <c r="CS126">
        <v>0</v>
      </c>
      <c r="CU126">
        <v>0</v>
      </c>
      <c r="CV126">
        <v>0</v>
      </c>
      <c r="CW126" t="s">
        <v>477</v>
      </c>
      <c r="CX126">
        <v>0</v>
      </c>
      <c r="CY126">
        <v>0</v>
      </c>
      <c r="CZ126">
        <v>0</v>
      </c>
      <c r="DA126" t="s">
        <v>477</v>
      </c>
      <c r="DB126">
        <v>0</v>
      </c>
      <c r="DC126">
        <v>0</v>
      </c>
      <c r="DN126">
        <v>0</v>
      </c>
      <c r="DO126">
        <v>0</v>
      </c>
    </row>
    <row r="127" spans="2:119">
      <c r="B127" t="s">
        <v>474</v>
      </c>
      <c r="C127">
        <v>3</v>
      </c>
      <c r="D127" t="s">
        <v>472</v>
      </c>
      <c r="E127">
        <v>5</v>
      </c>
      <c r="F127" t="s">
        <v>640</v>
      </c>
      <c r="G127">
        <v>104</v>
      </c>
      <c r="H127" t="s">
        <v>607</v>
      </c>
      <c r="I127">
        <v>0</v>
      </c>
      <c r="J127">
        <v>1</v>
      </c>
      <c r="K127" t="s">
        <v>478</v>
      </c>
      <c r="L127" t="s">
        <v>479</v>
      </c>
      <c r="Y127">
        <v>96</v>
      </c>
      <c r="Z127">
        <v>75</v>
      </c>
      <c r="AA127">
        <v>93.86</v>
      </c>
      <c r="AB127">
        <v>75</v>
      </c>
      <c r="AC127">
        <v>29</v>
      </c>
      <c r="AF127">
        <v>75</v>
      </c>
      <c r="AG127">
        <v>52</v>
      </c>
      <c r="AH127">
        <v>63.062869999999997</v>
      </c>
      <c r="AI127">
        <v>75</v>
      </c>
      <c r="AJ127">
        <v>810</v>
      </c>
      <c r="AK127">
        <v>13770</v>
      </c>
      <c r="AL127">
        <v>20925.689999999999</v>
      </c>
      <c r="AM127">
        <v>5460</v>
      </c>
      <c r="AN127">
        <v>26385.69</v>
      </c>
      <c r="AR127">
        <v>10173.620000000001</v>
      </c>
      <c r="AS127">
        <v>923.24069999999995</v>
      </c>
      <c r="AT127">
        <v>635.35879999999997</v>
      </c>
      <c r="AU127" t="s">
        <v>476</v>
      </c>
      <c r="AV127">
        <v>0</v>
      </c>
      <c r="AW127">
        <v>0</v>
      </c>
      <c r="AX127">
        <v>0</v>
      </c>
      <c r="AY127">
        <v>1</v>
      </c>
      <c r="AZ127">
        <v>923.24069999999995</v>
      </c>
      <c r="BA127">
        <v>0</v>
      </c>
      <c r="BB127">
        <v>0</v>
      </c>
      <c r="BE127">
        <v>810</v>
      </c>
      <c r="BF127">
        <v>1566.1110000000001</v>
      </c>
      <c r="BG127">
        <v>1967.328</v>
      </c>
      <c r="BH127">
        <v>974.7</v>
      </c>
      <c r="BI127">
        <v>3460.422</v>
      </c>
      <c r="BJ127">
        <v>7447.2929999999997</v>
      </c>
      <c r="BK127">
        <v>30</v>
      </c>
      <c r="BL127">
        <v>712.02589999999998</v>
      </c>
      <c r="BM127">
        <v>759</v>
      </c>
      <c r="BN127">
        <v>0</v>
      </c>
      <c r="BO127">
        <v>0</v>
      </c>
      <c r="BP127">
        <v>0</v>
      </c>
      <c r="BQ127">
        <v>0</v>
      </c>
      <c r="BR127">
        <v>0</v>
      </c>
      <c r="BS127">
        <v>1134</v>
      </c>
      <c r="BT127">
        <v>4062.8359999999998</v>
      </c>
      <c r="BU127">
        <v>1200</v>
      </c>
      <c r="BV127">
        <v>4299.2979999999998</v>
      </c>
      <c r="BW127">
        <v>0</v>
      </c>
      <c r="BX127">
        <v>0</v>
      </c>
      <c r="BY127">
        <v>26</v>
      </c>
      <c r="BZ127">
        <v>6825</v>
      </c>
      <c r="CA127">
        <v>5460</v>
      </c>
      <c r="CB127">
        <v>15187.13</v>
      </c>
      <c r="CC127">
        <v>5460</v>
      </c>
      <c r="CD127">
        <v>0</v>
      </c>
      <c r="CE127">
        <v>0</v>
      </c>
      <c r="CF127">
        <v>0</v>
      </c>
      <c r="CL127" t="s">
        <v>477</v>
      </c>
      <c r="CM127">
        <v>0</v>
      </c>
      <c r="CN127">
        <v>0</v>
      </c>
      <c r="CQ127" t="s">
        <v>477</v>
      </c>
      <c r="CR127">
        <v>0</v>
      </c>
      <c r="CS127">
        <v>0</v>
      </c>
      <c r="CU127">
        <v>0</v>
      </c>
      <c r="CV127">
        <v>0</v>
      </c>
      <c r="CW127" t="s">
        <v>477</v>
      </c>
      <c r="CX127">
        <v>0</v>
      </c>
      <c r="CY127">
        <v>0</v>
      </c>
      <c r="CZ127">
        <v>0</v>
      </c>
      <c r="DA127" t="s">
        <v>477</v>
      </c>
      <c r="DB127">
        <v>0</v>
      </c>
      <c r="DC127">
        <v>0</v>
      </c>
      <c r="DN127">
        <v>0</v>
      </c>
      <c r="DO127">
        <v>0</v>
      </c>
    </row>
    <row r="128" spans="2:119">
      <c r="B128" t="s">
        <v>474</v>
      </c>
      <c r="C128">
        <v>3</v>
      </c>
      <c r="D128" t="s">
        <v>472</v>
      </c>
      <c r="E128">
        <v>5</v>
      </c>
      <c r="F128" t="s">
        <v>640</v>
      </c>
      <c r="G128">
        <v>105</v>
      </c>
      <c r="H128" t="s">
        <v>608</v>
      </c>
      <c r="I128">
        <v>0</v>
      </c>
      <c r="J128">
        <v>1</v>
      </c>
      <c r="K128" t="s">
        <v>478</v>
      </c>
      <c r="L128" t="s">
        <v>479</v>
      </c>
      <c r="Y128">
        <v>96</v>
      </c>
      <c r="Z128">
        <v>75</v>
      </c>
      <c r="AA128">
        <v>93.86</v>
      </c>
      <c r="AB128">
        <v>75</v>
      </c>
      <c r="AC128">
        <v>29</v>
      </c>
      <c r="AF128">
        <v>75</v>
      </c>
      <c r="AG128">
        <v>52</v>
      </c>
      <c r="AH128">
        <v>63.062869999999997</v>
      </c>
      <c r="AI128">
        <v>75</v>
      </c>
      <c r="AJ128">
        <v>810</v>
      </c>
      <c r="AK128">
        <v>13770</v>
      </c>
      <c r="AL128">
        <v>20925.689999999999</v>
      </c>
      <c r="AM128">
        <v>5460</v>
      </c>
      <c r="AN128">
        <v>26385.69</v>
      </c>
      <c r="AR128">
        <v>10173.620000000001</v>
      </c>
      <c r="AS128">
        <v>923.24069999999995</v>
      </c>
      <c r="AT128">
        <v>635.35879999999997</v>
      </c>
      <c r="AU128" t="s">
        <v>476</v>
      </c>
      <c r="AV128">
        <v>0</v>
      </c>
      <c r="AW128">
        <v>0</v>
      </c>
      <c r="AX128">
        <v>0</v>
      </c>
      <c r="AY128">
        <v>1</v>
      </c>
      <c r="AZ128">
        <v>923.24069999999995</v>
      </c>
      <c r="BA128">
        <v>0</v>
      </c>
      <c r="BB128">
        <v>0</v>
      </c>
      <c r="BE128">
        <v>810</v>
      </c>
      <c r="BF128">
        <v>1566.1110000000001</v>
      </c>
      <c r="BG128">
        <v>1967.328</v>
      </c>
      <c r="BH128">
        <v>974.7</v>
      </c>
      <c r="BI128">
        <v>3460.422</v>
      </c>
      <c r="BJ128">
        <v>7447.2929999999997</v>
      </c>
      <c r="BK128">
        <v>30</v>
      </c>
      <c r="BL128">
        <v>712.02589999999998</v>
      </c>
      <c r="BM128">
        <v>759</v>
      </c>
      <c r="BN128">
        <v>0</v>
      </c>
      <c r="BO128">
        <v>0</v>
      </c>
      <c r="BP128">
        <v>0</v>
      </c>
      <c r="BQ128">
        <v>0</v>
      </c>
      <c r="BR128">
        <v>0</v>
      </c>
      <c r="BS128">
        <v>1134</v>
      </c>
      <c r="BT128">
        <v>4062.8359999999998</v>
      </c>
      <c r="BU128">
        <v>1200</v>
      </c>
      <c r="BV128">
        <v>4299.2979999999998</v>
      </c>
      <c r="BW128">
        <v>0</v>
      </c>
      <c r="BX128">
        <v>0</v>
      </c>
      <c r="BY128">
        <v>26</v>
      </c>
      <c r="BZ128">
        <v>6825</v>
      </c>
      <c r="CA128">
        <v>5460</v>
      </c>
      <c r="CB128">
        <v>15187.13</v>
      </c>
      <c r="CC128">
        <v>5460</v>
      </c>
      <c r="CD128">
        <v>0</v>
      </c>
      <c r="CE128">
        <v>0</v>
      </c>
      <c r="CF128">
        <v>0</v>
      </c>
      <c r="CL128" t="s">
        <v>477</v>
      </c>
      <c r="CM128">
        <v>0</v>
      </c>
      <c r="CN128">
        <v>0</v>
      </c>
      <c r="CQ128" t="s">
        <v>477</v>
      </c>
      <c r="CR128">
        <v>0</v>
      </c>
      <c r="CS128">
        <v>0</v>
      </c>
      <c r="CU128">
        <v>0</v>
      </c>
      <c r="CV128">
        <v>0</v>
      </c>
      <c r="CW128" t="s">
        <v>477</v>
      </c>
      <c r="CX128">
        <v>0</v>
      </c>
      <c r="CY128">
        <v>0</v>
      </c>
      <c r="CZ128">
        <v>0</v>
      </c>
      <c r="DA128" t="s">
        <v>477</v>
      </c>
      <c r="DB128">
        <v>0</v>
      </c>
      <c r="DC128">
        <v>0</v>
      </c>
      <c r="DN128">
        <v>0</v>
      </c>
      <c r="DO128">
        <v>0</v>
      </c>
    </row>
    <row r="129" spans="2:133">
      <c r="B129" t="s">
        <v>474</v>
      </c>
      <c r="C129">
        <v>3</v>
      </c>
      <c r="D129" t="s">
        <v>472</v>
      </c>
      <c r="E129">
        <v>5</v>
      </c>
      <c r="F129" t="s">
        <v>640</v>
      </c>
      <c r="G129">
        <v>106</v>
      </c>
      <c r="H129" t="s">
        <v>609</v>
      </c>
      <c r="I129">
        <v>0</v>
      </c>
      <c r="J129">
        <v>1</v>
      </c>
      <c r="K129" t="s">
        <v>478</v>
      </c>
      <c r="L129" t="s">
        <v>522</v>
      </c>
      <c r="Y129">
        <v>96</v>
      </c>
      <c r="Z129">
        <v>75</v>
      </c>
      <c r="AA129">
        <v>95.358000000000004</v>
      </c>
      <c r="AB129">
        <v>75</v>
      </c>
      <c r="AC129">
        <v>29</v>
      </c>
      <c r="AF129">
        <v>75</v>
      </c>
      <c r="AG129">
        <v>52</v>
      </c>
      <c r="AH129">
        <v>63.062869999999997</v>
      </c>
      <c r="AI129">
        <v>75</v>
      </c>
      <c r="AJ129">
        <v>260</v>
      </c>
      <c r="AK129">
        <v>4420</v>
      </c>
      <c r="AL129">
        <v>4237.5110000000004</v>
      </c>
      <c r="AM129">
        <v>0</v>
      </c>
      <c r="AN129">
        <v>4237.5110000000004</v>
      </c>
      <c r="AR129">
        <v>3007.0309999999999</v>
      </c>
      <c r="AS129">
        <v>186.9588</v>
      </c>
      <c r="AT129">
        <v>187.79390000000001</v>
      </c>
      <c r="AU129" t="s">
        <v>476</v>
      </c>
      <c r="AV129">
        <v>0</v>
      </c>
      <c r="AW129">
        <v>0</v>
      </c>
      <c r="AX129">
        <v>0</v>
      </c>
      <c r="AY129">
        <v>1</v>
      </c>
      <c r="AZ129">
        <v>187.79390000000001</v>
      </c>
      <c r="BA129">
        <v>0</v>
      </c>
      <c r="BB129">
        <v>0</v>
      </c>
      <c r="BE129">
        <v>260</v>
      </c>
      <c r="BF129">
        <v>456.83819999999997</v>
      </c>
      <c r="BG129">
        <v>631.48800000000006</v>
      </c>
      <c r="BH129">
        <v>72.5</v>
      </c>
      <c r="BI129">
        <v>204.6087</v>
      </c>
      <c r="BJ129">
        <v>553.94349999999997</v>
      </c>
      <c r="BK129">
        <v>72</v>
      </c>
      <c r="BL129">
        <v>2178.7919999999999</v>
      </c>
      <c r="BM129">
        <v>1821.6</v>
      </c>
      <c r="BN129">
        <v>0</v>
      </c>
      <c r="BO129">
        <v>0</v>
      </c>
      <c r="BP129">
        <v>0</v>
      </c>
      <c r="BQ129">
        <v>0</v>
      </c>
      <c r="BR129">
        <v>0</v>
      </c>
      <c r="BS129">
        <v>130</v>
      </c>
      <c r="BT129">
        <v>465.75720000000001</v>
      </c>
      <c r="BU129">
        <v>260</v>
      </c>
      <c r="BV129">
        <v>931.5145</v>
      </c>
      <c r="BW129">
        <v>0</v>
      </c>
      <c r="BX129">
        <v>0</v>
      </c>
      <c r="BY129">
        <v>0</v>
      </c>
      <c r="BZ129">
        <v>0</v>
      </c>
      <c r="CA129">
        <v>0</v>
      </c>
      <c r="CB129">
        <v>1397.2719999999999</v>
      </c>
      <c r="CC129">
        <v>0</v>
      </c>
      <c r="CD129">
        <v>0</v>
      </c>
      <c r="CE129">
        <v>0</v>
      </c>
      <c r="CF129">
        <v>0</v>
      </c>
      <c r="CL129" t="s">
        <v>477</v>
      </c>
      <c r="CM129">
        <v>0</v>
      </c>
      <c r="CN129">
        <v>0</v>
      </c>
      <c r="CQ129" t="s">
        <v>477</v>
      </c>
      <c r="CR129">
        <v>0</v>
      </c>
      <c r="CS129">
        <v>0</v>
      </c>
      <c r="CU129">
        <v>0</v>
      </c>
      <c r="CV129">
        <v>0</v>
      </c>
      <c r="CW129" t="s">
        <v>477</v>
      </c>
      <c r="CX129">
        <v>0</v>
      </c>
      <c r="CY129">
        <v>0</v>
      </c>
      <c r="CZ129">
        <v>0</v>
      </c>
      <c r="DA129" t="s">
        <v>477</v>
      </c>
      <c r="DB129">
        <v>0</v>
      </c>
      <c r="DC129">
        <v>0</v>
      </c>
      <c r="DN129">
        <v>0</v>
      </c>
      <c r="DO129">
        <v>0</v>
      </c>
    </row>
    <row r="130" spans="2:133">
      <c r="B130" t="s">
        <v>474</v>
      </c>
      <c r="C130">
        <v>3</v>
      </c>
      <c r="D130" t="s">
        <v>472</v>
      </c>
      <c r="E130">
        <v>5</v>
      </c>
      <c r="F130" t="s">
        <v>640</v>
      </c>
      <c r="G130">
        <v>107</v>
      </c>
      <c r="H130" t="s">
        <v>610</v>
      </c>
      <c r="I130">
        <v>0</v>
      </c>
      <c r="J130">
        <v>1</v>
      </c>
      <c r="K130" t="s">
        <v>478</v>
      </c>
      <c r="L130" t="s">
        <v>482</v>
      </c>
      <c r="Y130">
        <v>96</v>
      </c>
      <c r="Z130">
        <v>75</v>
      </c>
      <c r="AA130">
        <v>95.358000000000004</v>
      </c>
      <c r="AB130">
        <v>75</v>
      </c>
      <c r="AC130">
        <v>29</v>
      </c>
      <c r="AF130">
        <v>75</v>
      </c>
      <c r="AG130">
        <v>52</v>
      </c>
      <c r="AH130">
        <v>63.062869999999997</v>
      </c>
      <c r="AI130">
        <v>75</v>
      </c>
      <c r="AJ130">
        <v>775</v>
      </c>
      <c r="AK130">
        <v>13175</v>
      </c>
      <c r="AL130">
        <v>18489.66</v>
      </c>
      <c r="AM130">
        <v>5460</v>
      </c>
      <c r="AN130">
        <v>23949.66</v>
      </c>
      <c r="AR130">
        <v>5633.3789999999999</v>
      </c>
      <c r="AS130">
        <v>815.76310000000001</v>
      </c>
      <c r="AT130">
        <v>351.81349999999998</v>
      </c>
      <c r="AU130" t="s">
        <v>476</v>
      </c>
      <c r="AV130">
        <v>0</v>
      </c>
      <c r="AW130">
        <v>0</v>
      </c>
      <c r="AX130">
        <v>0</v>
      </c>
      <c r="AY130">
        <v>1</v>
      </c>
      <c r="AZ130">
        <v>815.76310000000001</v>
      </c>
      <c r="BA130">
        <v>0</v>
      </c>
      <c r="BB130">
        <v>0</v>
      </c>
      <c r="BE130">
        <v>775</v>
      </c>
      <c r="BF130">
        <v>1537.499</v>
      </c>
      <c r="BG130">
        <v>1882.32</v>
      </c>
      <c r="BH130">
        <v>391.6</v>
      </c>
      <c r="BI130">
        <v>1167.258</v>
      </c>
      <c r="BJ130">
        <v>2992.0590000000002</v>
      </c>
      <c r="BK130">
        <v>30</v>
      </c>
      <c r="BL130">
        <v>773.32500000000005</v>
      </c>
      <c r="BM130">
        <v>759</v>
      </c>
      <c r="BN130">
        <v>0</v>
      </c>
      <c r="BO130">
        <v>0</v>
      </c>
      <c r="BP130">
        <v>0</v>
      </c>
      <c r="BQ130">
        <v>0</v>
      </c>
      <c r="BR130">
        <v>0</v>
      </c>
      <c r="BS130">
        <v>1085</v>
      </c>
      <c r="BT130">
        <v>3887.2809999999999</v>
      </c>
      <c r="BU130">
        <v>1200</v>
      </c>
      <c r="BV130">
        <v>4299.2979999999998</v>
      </c>
      <c r="BW130">
        <v>0</v>
      </c>
      <c r="BX130">
        <v>0</v>
      </c>
      <c r="BY130">
        <v>26</v>
      </c>
      <c r="BZ130">
        <v>6825</v>
      </c>
      <c r="CA130">
        <v>5460</v>
      </c>
      <c r="CB130">
        <v>15011.58</v>
      </c>
      <c r="CC130">
        <v>5460</v>
      </c>
      <c r="CD130">
        <v>0</v>
      </c>
      <c r="CE130">
        <v>0</v>
      </c>
      <c r="CF130">
        <v>0</v>
      </c>
      <c r="CL130" t="s">
        <v>477</v>
      </c>
      <c r="CM130">
        <v>0</v>
      </c>
      <c r="CN130">
        <v>0</v>
      </c>
      <c r="CQ130" t="s">
        <v>477</v>
      </c>
      <c r="CR130">
        <v>0</v>
      </c>
      <c r="CS130">
        <v>0</v>
      </c>
      <c r="CU130">
        <v>0</v>
      </c>
      <c r="CV130">
        <v>0</v>
      </c>
      <c r="CW130" t="s">
        <v>477</v>
      </c>
      <c r="CX130">
        <v>0</v>
      </c>
      <c r="CY130">
        <v>0</v>
      </c>
      <c r="CZ130">
        <v>0</v>
      </c>
      <c r="DA130" t="s">
        <v>477</v>
      </c>
      <c r="DB130">
        <v>0</v>
      </c>
      <c r="DC130">
        <v>0</v>
      </c>
      <c r="DN130">
        <v>0</v>
      </c>
      <c r="DO130">
        <v>0</v>
      </c>
    </row>
    <row r="131" spans="2:133">
      <c r="B131" t="s">
        <v>474</v>
      </c>
      <c r="C131">
        <v>3</v>
      </c>
      <c r="D131" t="s">
        <v>472</v>
      </c>
      <c r="E131">
        <v>5</v>
      </c>
      <c r="F131" t="s">
        <v>640</v>
      </c>
      <c r="G131">
        <v>108</v>
      </c>
      <c r="H131" t="s">
        <v>611</v>
      </c>
      <c r="I131">
        <v>0</v>
      </c>
      <c r="J131">
        <v>1</v>
      </c>
      <c r="K131" t="s">
        <v>478</v>
      </c>
      <c r="L131" t="s">
        <v>482</v>
      </c>
      <c r="Y131">
        <v>96</v>
      </c>
      <c r="Z131">
        <v>75</v>
      </c>
      <c r="AA131">
        <v>95.358000000000004</v>
      </c>
      <c r="AB131">
        <v>75</v>
      </c>
      <c r="AC131">
        <v>29</v>
      </c>
      <c r="AF131">
        <v>75</v>
      </c>
      <c r="AG131">
        <v>52</v>
      </c>
      <c r="AH131">
        <v>63.062869999999997</v>
      </c>
      <c r="AI131">
        <v>75</v>
      </c>
      <c r="AJ131">
        <v>40</v>
      </c>
      <c r="AK131">
        <v>680</v>
      </c>
      <c r="AL131">
        <v>614.14369999999997</v>
      </c>
      <c r="AM131">
        <v>210</v>
      </c>
      <c r="AN131">
        <v>824.14369999999997</v>
      </c>
      <c r="AR131">
        <v>97.152000000000001</v>
      </c>
      <c r="AS131">
        <v>50</v>
      </c>
      <c r="AT131">
        <v>6.0672969999999999</v>
      </c>
      <c r="AU131" t="s">
        <v>476</v>
      </c>
      <c r="AV131">
        <v>0</v>
      </c>
      <c r="AW131">
        <v>0</v>
      </c>
      <c r="AX131">
        <v>0</v>
      </c>
      <c r="AY131">
        <v>1</v>
      </c>
      <c r="AZ131">
        <v>50</v>
      </c>
      <c r="BA131">
        <v>0</v>
      </c>
      <c r="BB131">
        <v>0</v>
      </c>
      <c r="BE131">
        <v>40</v>
      </c>
      <c r="BF131">
        <v>79.354789999999994</v>
      </c>
      <c r="BG131">
        <v>97.152000000000001</v>
      </c>
      <c r="BH131">
        <v>0</v>
      </c>
      <c r="BI131">
        <v>0</v>
      </c>
      <c r="BJ131">
        <v>0</v>
      </c>
      <c r="BK131">
        <v>0</v>
      </c>
      <c r="BL131">
        <v>0</v>
      </c>
      <c r="BM131">
        <v>0</v>
      </c>
      <c r="BN131">
        <v>0</v>
      </c>
      <c r="BO131">
        <v>0</v>
      </c>
      <c r="BP131">
        <v>0</v>
      </c>
      <c r="BQ131">
        <v>0</v>
      </c>
      <c r="BR131">
        <v>0</v>
      </c>
      <c r="BS131">
        <v>36</v>
      </c>
      <c r="BT131">
        <v>128.97890000000001</v>
      </c>
      <c r="BU131">
        <v>40</v>
      </c>
      <c r="BV131">
        <v>143.3099</v>
      </c>
      <c r="BW131">
        <v>0</v>
      </c>
      <c r="BX131">
        <v>0</v>
      </c>
      <c r="BY131">
        <v>1</v>
      </c>
      <c r="BZ131">
        <v>262.5</v>
      </c>
      <c r="CA131">
        <v>210</v>
      </c>
      <c r="CB131">
        <v>534.78880000000004</v>
      </c>
      <c r="CC131">
        <v>210</v>
      </c>
      <c r="CD131">
        <v>0</v>
      </c>
      <c r="CE131">
        <v>0</v>
      </c>
      <c r="CF131">
        <v>0</v>
      </c>
      <c r="CL131" t="s">
        <v>477</v>
      </c>
      <c r="CM131">
        <v>0</v>
      </c>
      <c r="CN131">
        <v>0</v>
      </c>
      <c r="CQ131" t="s">
        <v>477</v>
      </c>
      <c r="CR131">
        <v>0</v>
      </c>
      <c r="CS131">
        <v>0</v>
      </c>
      <c r="CU131">
        <v>0</v>
      </c>
      <c r="CV131">
        <v>0</v>
      </c>
      <c r="CW131" t="s">
        <v>477</v>
      </c>
      <c r="CX131">
        <v>0</v>
      </c>
      <c r="CY131">
        <v>0</v>
      </c>
      <c r="CZ131">
        <v>0</v>
      </c>
      <c r="DA131" t="s">
        <v>477</v>
      </c>
      <c r="DB131">
        <v>0</v>
      </c>
      <c r="DC131">
        <v>0</v>
      </c>
      <c r="DN131">
        <v>0</v>
      </c>
      <c r="DO131">
        <v>0</v>
      </c>
    </row>
    <row r="132" spans="2:133">
      <c r="B132" t="s">
        <v>474</v>
      </c>
      <c r="C132">
        <v>3</v>
      </c>
      <c r="D132" t="s">
        <v>472</v>
      </c>
      <c r="E132">
        <v>5</v>
      </c>
      <c r="F132" t="s">
        <v>640</v>
      </c>
      <c r="G132">
        <v>109</v>
      </c>
      <c r="H132" t="s">
        <v>612</v>
      </c>
      <c r="I132">
        <v>0</v>
      </c>
      <c r="J132">
        <v>1</v>
      </c>
      <c r="K132" t="s">
        <v>478</v>
      </c>
      <c r="L132" t="s">
        <v>482</v>
      </c>
      <c r="Y132">
        <v>96</v>
      </c>
      <c r="Z132">
        <v>75</v>
      </c>
      <c r="AA132">
        <v>95.358000000000004</v>
      </c>
      <c r="AB132">
        <v>75</v>
      </c>
      <c r="AC132">
        <v>29</v>
      </c>
      <c r="AF132">
        <v>75</v>
      </c>
      <c r="AG132">
        <v>52</v>
      </c>
      <c r="AH132">
        <v>63.062869999999997</v>
      </c>
      <c r="AI132">
        <v>75</v>
      </c>
      <c r="AJ132">
        <v>670</v>
      </c>
      <c r="AK132">
        <v>11390</v>
      </c>
      <c r="AL132">
        <v>4929.8540000000003</v>
      </c>
      <c r="AM132">
        <v>0</v>
      </c>
      <c r="AN132">
        <v>4929.8540000000003</v>
      </c>
      <c r="AR132">
        <v>1627.296</v>
      </c>
      <c r="AS132">
        <v>402</v>
      </c>
      <c r="AT132">
        <v>101.6272</v>
      </c>
      <c r="AU132" t="s">
        <v>476</v>
      </c>
      <c r="AV132">
        <v>0</v>
      </c>
      <c r="AW132">
        <v>0</v>
      </c>
      <c r="AX132">
        <v>0</v>
      </c>
      <c r="AY132">
        <v>1</v>
      </c>
      <c r="AZ132">
        <v>402</v>
      </c>
      <c r="BA132">
        <v>0</v>
      </c>
      <c r="BB132">
        <v>0</v>
      </c>
      <c r="BE132">
        <v>670</v>
      </c>
      <c r="BF132">
        <v>1329.193</v>
      </c>
      <c r="BG132">
        <v>1627.296</v>
      </c>
      <c r="BH132">
        <v>0</v>
      </c>
      <c r="BI132">
        <v>0</v>
      </c>
      <c r="BJ132">
        <v>0</v>
      </c>
      <c r="BK132">
        <v>0</v>
      </c>
      <c r="BL132">
        <v>0</v>
      </c>
      <c r="BM132">
        <v>0</v>
      </c>
      <c r="BN132">
        <v>0</v>
      </c>
      <c r="BO132">
        <v>0</v>
      </c>
      <c r="BP132">
        <v>0</v>
      </c>
      <c r="BQ132">
        <v>0</v>
      </c>
      <c r="BR132">
        <v>0</v>
      </c>
      <c r="BS132">
        <v>335</v>
      </c>
      <c r="BT132">
        <v>1200.221</v>
      </c>
      <c r="BU132">
        <v>670</v>
      </c>
      <c r="BV132">
        <v>2400.4409999999998</v>
      </c>
      <c r="BW132">
        <v>0</v>
      </c>
      <c r="BX132">
        <v>0</v>
      </c>
      <c r="BY132">
        <v>0</v>
      </c>
      <c r="BZ132">
        <v>0</v>
      </c>
      <c r="CA132">
        <v>0</v>
      </c>
      <c r="CB132">
        <v>3600.6619999999998</v>
      </c>
      <c r="CC132">
        <v>0</v>
      </c>
      <c r="CD132">
        <v>0</v>
      </c>
      <c r="CE132">
        <v>0</v>
      </c>
      <c r="CF132">
        <v>0</v>
      </c>
      <c r="CL132" t="s">
        <v>477</v>
      </c>
      <c r="CM132">
        <v>0</v>
      </c>
      <c r="CN132">
        <v>0</v>
      </c>
      <c r="CQ132" t="s">
        <v>477</v>
      </c>
      <c r="CR132">
        <v>0</v>
      </c>
      <c r="CS132">
        <v>0</v>
      </c>
      <c r="CU132">
        <v>0</v>
      </c>
      <c r="CV132">
        <v>0</v>
      </c>
      <c r="CW132" t="s">
        <v>477</v>
      </c>
      <c r="CX132">
        <v>0</v>
      </c>
      <c r="CY132">
        <v>0</v>
      </c>
      <c r="CZ132">
        <v>0</v>
      </c>
      <c r="DA132" t="s">
        <v>477</v>
      </c>
      <c r="DB132">
        <v>0</v>
      </c>
      <c r="DC132">
        <v>0</v>
      </c>
      <c r="DN132">
        <v>0</v>
      </c>
      <c r="DO132">
        <v>0</v>
      </c>
    </row>
    <row r="133" spans="2:133">
      <c r="B133" t="s">
        <v>474</v>
      </c>
      <c r="C133">
        <v>3</v>
      </c>
      <c r="D133" t="s">
        <v>472</v>
      </c>
      <c r="E133">
        <v>5</v>
      </c>
      <c r="F133" t="s">
        <v>640</v>
      </c>
      <c r="G133">
        <v>110</v>
      </c>
      <c r="H133" t="s">
        <v>613</v>
      </c>
      <c r="I133">
        <v>0</v>
      </c>
      <c r="J133">
        <v>1</v>
      </c>
      <c r="K133" t="s">
        <v>478</v>
      </c>
      <c r="L133" t="s">
        <v>482</v>
      </c>
      <c r="Y133">
        <v>96</v>
      </c>
      <c r="Z133">
        <v>75</v>
      </c>
      <c r="AA133">
        <v>95.358000000000004</v>
      </c>
      <c r="AB133">
        <v>75</v>
      </c>
      <c r="AC133">
        <v>29</v>
      </c>
      <c r="AF133">
        <v>75</v>
      </c>
      <c r="AG133">
        <v>52</v>
      </c>
      <c r="AH133">
        <v>63.062869999999997</v>
      </c>
      <c r="AI133">
        <v>75</v>
      </c>
      <c r="AJ133">
        <v>380</v>
      </c>
      <c r="AK133">
        <v>6460</v>
      </c>
      <c r="AL133">
        <v>5333.8370000000004</v>
      </c>
      <c r="AM133">
        <v>1050</v>
      </c>
      <c r="AN133">
        <v>6383.8370000000004</v>
      </c>
      <c r="AR133">
        <v>922.94399999999996</v>
      </c>
      <c r="AS133">
        <v>235.3287</v>
      </c>
      <c r="AT133">
        <v>57.639319999999998</v>
      </c>
      <c r="AU133" t="s">
        <v>476</v>
      </c>
      <c r="AV133">
        <v>0</v>
      </c>
      <c r="AW133">
        <v>0</v>
      </c>
      <c r="AX133">
        <v>0</v>
      </c>
      <c r="AY133">
        <v>1</v>
      </c>
      <c r="AZ133">
        <v>235.3287</v>
      </c>
      <c r="BA133">
        <v>0</v>
      </c>
      <c r="BB133">
        <v>0</v>
      </c>
      <c r="BE133">
        <v>380</v>
      </c>
      <c r="BF133">
        <v>753.87049999999999</v>
      </c>
      <c r="BG133">
        <v>922.94399999999996</v>
      </c>
      <c r="BH133">
        <v>0</v>
      </c>
      <c r="BI133">
        <v>0</v>
      </c>
      <c r="BJ133">
        <v>0</v>
      </c>
      <c r="BK133">
        <v>0</v>
      </c>
      <c r="BL133">
        <v>0</v>
      </c>
      <c r="BM133">
        <v>0</v>
      </c>
      <c r="BN133">
        <v>0</v>
      </c>
      <c r="BO133">
        <v>0</v>
      </c>
      <c r="BP133">
        <v>0</v>
      </c>
      <c r="BQ133">
        <v>0</v>
      </c>
      <c r="BR133">
        <v>0</v>
      </c>
      <c r="BS133">
        <v>532</v>
      </c>
      <c r="BT133">
        <v>1906.0219999999999</v>
      </c>
      <c r="BU133">
        <v>380</v>
      </c>
      <c r="BV133">
        <v>1361.444</v>
      </c>
      <c r="BW133">
        <v>0</v>
      </c>
      <c r="BX133">
        <v>0</v>
      </c>
      <c r="BY133">
        <v>5</v>
      </c>
      <c r="BZ133">
        <v>1312.5</v>
      </c>
      <c r="CA133">
        <v>1050</v>
      </c>
      <c r="CB133">
        <v>4579.9660000000003</v>
      </c>
      <c r="CC133">
        <v>1050</v>
      </c>
      <c r="CD133">
        <v>0</v>
      </c>
      <c r="CE133">
        <v>0</v>
      </c>
      <c r="CF133">
        <v>0</v>
      </c>
      <c r="CL133" t="s">
        <v>477</v>
      </c>
      <c r="CM133">
        <v>0</v>
      </c>
      <c r="CN133">
        <v>0</v>
      </c>
      <c r="CQ133" t="s">
        <v>477</v>
      </c>
      <c r="CR133">
        <v>0</v>
      </c>
      <c r="CS133">
        <v>0</v>
      </c>
      <c r="CU133">
        <v>0</v>
      </c>
      <c r="CV133">
        <v>0</v>
      </c>
      <c r="CW133" t="s">
        <v>477</v>
      </c>
      <c r="CX133">
        <v>0</v>
      </c>
      <c r="CY133">
        <v>0</v>
      </c>
      <c r="CZ133">
        <v>0</v>
      </c>
      <c r="DA133" t="s">
        <v>477</v>
      </c>
      <c r="DB133">
        <v>0</v>
      </c>
      <c r="DC133">
        <v>0</v>
      </c>
      <c r="DN133">
        <v>0</v>
      </c>
      <c r="DO133">
        <v>0</v>
      </c>
    </row>
    <row r="134" spans="2:133">
      <c r="B134" t="s">
        <v>474</v>
      </c>
      <c r="C134">
        <v>3</v>
      </c>
      <c r="D134" t="s">
        <v>472</v>
      </c>
      <c r="E134">
        <v>5</v>
      </c>
      <c r="F134" t="s">
        <v>640</v>
      </c>
      <c r="G134">
        <v>111</v>
      </c>
      <c r="H134" t="s">
        <v>614</v>
      </c>
      <c r="I134">
        <v>0</v>
      </c>
      <c r="J134">
        <v>1</v>
      </c>
      <c r="K134" t="s">
        <v>478</v>
      </c>
      <c r="L134" t="s">
        <v>482</v>
      </c>
      <c r="Y134">
        <v>96</v>
      </c>
      <c r="Z134">
        <v>75</v>
      </c>
      <c r="AA134">
        <v>95.358000000000004</v>
      </c>
      <c r="AB134">
        <v>75</v>
      </c>
      <c r="AC134">
        <v>29</v>
      </c>
      <c r="AF134">
        <v>75</v>
      </c>
      <c r="AG134">
        <v>52</v>
      </c>
      <c r="AH134">
        <v>63.062869999999997</v>
      </c>
      <c r="AI134">
        <v>75</v>
      </c>
      <c r="AJ134">
        <v>123</v>
      </c>
      <c r="AK134">
        <v>2091</v>
      </c>
      <c r="AL134">
        <v>1562.2360000000001</v>
      </c>
      <c r="AM134">
        <v>420</v>
      </c>
      <c r="AN134">
        <v>1982.2360000000001</v>
      </c>
      <c r="AR134">
        <v>298.74239999999998</v>
      </c>
      <c r="AS134">
        <v>68.925799999999995</v>
      </c>
      <c r="AT134">
        <v>18.656939999999999</v>
      </c>
      <c r="AU134" t="s">
        <v>476</v>
      </c>
      <c r="AV134">
        <v>0</v>
      </c>
      <c r="AW134">
        <v>0</v>
      </c>
      <c r="AX134">
        <v>0</v>
      </c>
      <c r="AY134">
        <v>1</v>
      </c>
      <c r="AZ134">
        <v>68.925799999999995</v>
      </c>
      <c r="BA134">
        <v>0</v>
      </c>
      <c r="BB134">
        <v>0</v>
      </c>
      <c r="BE134">
        <v>123</v>
      </c>
      <c r="BF134">
        <v>244.01599999999999</v>
      </c>
      <c r="BG134">
        <v>298.74239999999998</v>
      </c>
      <c r="BH134">
        <v>0</v>
      </c>
      <c r="BI134">
        <v>0</v>
      </c>
      <c r="BJ134">
        <v>0</v>
      </c>
      <c r="BK134">
        <v>0</v>
      </c>
      <c r="BL134">
        <v>0</v>
      </c>
      <c r="BM134">
        <v>0</v>
      </c>
      <c r="BN134">
        <v>0</v>
      </c>
      <c r="BO134">
        <v>0</v>
      </c>
      <c r="BP134">
        <v>0</v>
      </c>
      <c r="BQ134">
        <v>0</v>
      </c>
      <c r="BR134">
        <v>0</v>
      </c>
      <c r="BS134">
        <v>98</v>
      </c>
      <c r="BT134">
        <v>352.54239999999999</v>
      </c>
      <c r="BU134">
        <v>123</v>
      </c>
      <c r="BV134">
        <v>440.678</v>
      </c>
      <c r="BW134">
        <v>0</v>
      </c>
      <c r="BX134">
        <v>0</v>
      </c>
      <c r="BY134">
        <v>2</v>
      </c>
      <c r="BZ134">
        <v>525</v>
      </c>
      <c r="CA134">
        <v>420</v>
      </c>
      <c r="CB134">
        <v>1318.22</v>
      </c>
      <c r="CC134">
        <v>420</v>
      </c>
      <c r="CD134">
        <v>0</v>
      </c>
      <c r="CE134">
        <v>0</v>
      </c>
      <c r="CF134">
        <v>0</v>
      </c>
      <c r="CL134" t="s">
        <v>477</v>
      </c>
      <c r="CM134">
        <v>0</v>
      </c>
      <c r="CN134">
        <v>0</v>
      </c>
      <c r="CQ134" t="s">
        <v>477</v>
      </c>
      <c r="CR134">
        <v>0</v>
      </c>
      <c r="CS134">
        <v>0</v>
      </c>
      <c r="CU134">
        <v>0</v>
      </c>
      <c r="CV134">
        <v>0</v>
      </c>
      <c r="CW134" t="s">
        <v>477</v>
      </c>
      <c r="CX134">
        <v>0</v>
      </c>
      <c r="CY134">
        <v>0</v>
      </c>
      <c r="CZ134">
        <v>0</v>
      </c>
      <c r="DA134" t="s">
        <v>477</v>
      </c>
      <c r="DB134">
        <v>0</v>
      </c>
      <c r="DC134">
        <v>0</v>
      </c>
      <c r="DN134">
        <v>0</v>
      </c>
      <c r="DO134">
        <v>0</v>
      </c>
    </row>
    <row r="135" spans="2:133">
      <c r="B135" t="s">
        <v>474</v>
      </c>
      <c r="C135">
        <v>3</v>
      </c>
      <c r="D135" t="s">
        <v>472</v>
      </c>
      <c r="E135">
        <v>5</v>
      </c>
      <c r="F135" t="s">
        <v>640</v>
      </c>
      <c r="G135">
        <v>112</v>
      </c>
      <c r="H135" t="s">
        <v>615</v>
      </c>
      <c r="I135">
        <v>0</v>
      </c>
      <c r="J135">
        <v>1</v>
      </c>
      <c r="K135" t="s">
        <v>478</v>
      </c>
      <c r="L135" t="s">
        <v>482</v>
      </c>
      <c r="Y135">
        <v>96</v>
      </c>
      <c r="Z135">
        <v>75</v>
      </c>
      <c r="AA135">
        <v>95.358000000000004</v>
      </c>
      <c r="AB135">
        <v>75</v>
      </c>
      <c r="AC135">
        <v>29</v>
      </c>
      <c r="AF135">
        <v>75</v>
      </c>
      <c r="AG135">
        <v>52</v>
      </c>
      <c r="AH135">
        <v>63.062869999999997</v>
      </c>
      <c r="AI135">
        <v>75</v>
      </c>
      <c r="AJ135">
        <v>75</v>
      </c>
      <c r="AK135">
        <v>1275</v>
      </c>
      <c r="AL135">
        <v>2656.009</v>
      </c>
      <c r="AM135">
        <v>630</v>
      </c>
      <c r="AN135">
        <v>3286.009</v>
      </c>
      <c r="AR135">
        <v>182.16</v>
      </c>
      <c r="AS135">
        <v>117.18300000000001</v>
      </c>
      <c r="AT135">
        <v>11.37618</v>
      </c>
      <c r="AU135" t="s">
        <v>476</v>
      </c>
      <c r="AV135">
        <v>0</v>
      </c>
      <c r="AW135">
        <v>0</v>
      </c>
      <c r="AX135">
        <v>0</v>
      </c>
      <c r="AY135">
        <v>1</v>
      </c>
      <c r="AZ135">
        <v>117.18300000000001</v>
      </c>
      <c r="BA135">
        <v>0</v>
      </c>
      <c r="BB135">
        <v>0</v>
      </c>
      <c r="BE135">
        <v>75</v>
      </c>
      <c r="BF135">
        <v>148.7903</v>
      </c>
      <c r="BG135">
        <v>182.16</v>
      </c>
      <c r="BH135">
        <v>0</v>
      </c>
      <c r="BI135">
        <v>0</v>
      </c>
      <c r="BJ135">
        <v>0</v>
      </c>
      <c r="BK135">
        <v>0</v>
      </c>
      <c r="BL135">
        <v>0</v>
      </c>
      <c r="BM135">
        <v>0</v>
      </c>
      <c r="BN135">
        <v>0</v>
      </c>
      <c r="BO135">
        <v>0</v>
      </c>
      <c r="BP135">
        <v>0</v>
      </c>
      <c r="BQ135">
        <v>0</v>
      </c>
      <c r="BR135">
        <v>0</v>
      </c>
      <c r="BS135">
        <v>105</v>
      </c>
      <c r="BT135">
        <v>376.18849999999998</v>
      </c>
      <c r="BU135">
        <v>375</v>
      </c>
      <c r="BV135">
        <v>1343.53</v>
      </c>
      <c r="BW135">
        <v>0</v>
      </c>
      <c r="BX135">
        <v>0</v>
      </c>
      <c r="BY135">
        <v>3</v>
      </c>
      <c r="BZ135">
        <v>787.49990000000003</v>
      </c>
      <c r="CA135">
        <v>630</v>
      </c>
      <c r="CB135">
        <v>2507.2190000000001</v>
      </c>
      <c r="CC135">
        <v>630</v>
      </c>
      <c r="CD135">
        <v>0</v>
      </c>
      <c r="CE135">
        <v>0</v>
      </c>
      <c r="CF135">
        <v>0</v>
      </c>
      <c r="CL135" t="s">
        <v>477</v>
      </c>
      <c r="CM135">
        <v>0</v>
      </c>
      <c r="CN135">
        <v>0</v>
      </c>
      <c r="CQ135" t="s">
        <v>477</v>
      </c>
      <c r="CR135">
        <v>0</v>
      </c>
      <c r="CS135">
        <v>0</v>
      </c>
      <c r="CU135">
        <v>0</v>
      </c>
      <c r="CV135">
        <v>0</v>
      </c>
      <c r="CW135" t="s">
        <v>477</v>
      </c>
      <c r="CX135">
        <v>0</v>
      </c>
      <c r="CY135">
        <v>0</v>
      </c>
      <c r="CZ135">
        <v>0</v>
      </c>
      <c r="DA135" t="s">
        <v>477</v>
      </c>
      <c r="DB135">
        <v>0</v>
      </c>
      <c r="DC135">
        <v>0</v>
      </c>
      <c r="DN135">
        <v>0</v>
      </c>
      <c r="DO135">
        <v>0</v>
      </c>
    </row>
    <row r="136" spans="2:133">
      <c r="B136" t="s">
        <v>474</v>
      </c>
      <c r="C136">
        <v>3</v>
      </c>
      <c r="D136" t="s">
        <v>472</v>
      </c>
      <c r="E136">
        <v>5</v>
      </c>
      <c r="F136" t="s">
        <v>640</v>
      </c>
      <c r="G136">
        <v>113</v>
      </c>
      <c r="H136" t="s">
        <v>616</v>
      </c>
      <c r="I136">
        <v>0</v>
      </c>
      <c r="J136">
        <v>1</v>
      </c>
      <c r="K136" t="s">
        <v>478</v>
      </c>
      <c r="L136" t="s">
        <v>525</v>
      </c>
      <c r="Y136">
        <v>96</v>
      </c>
      <c r="Z136">
        <v>75</v>
      </c>
      <c r="AA136">
        <v>96</v>
      </c>
      <c r="AB136">
        <v>75</v>
      </c>
      <c r="AC136">
        <v>29</v>
      </c>
      <c r="AF136">
        <v>75</v>
      </c>
      <c r="AG136">
        <v>52</v>
      </c>
      <c r="AH136">
        <v>63.062869999999997</v>
      </c>
      <c r="AI136">
        <v>75</v>
      </c>
      <c r="AJ136">
        <v>865</v>
      </c>
      <c r="AK136">
        <v>14705</v>
      </c>
      <c r="AL136">
        <v>20625.64</v>
      </c>
      <c r="AM136">
        <v>5460</v>
      </c>
      <c r="AN136">
        <v>26085.64</v>
      </c>
      <c r="AR136">
        <v>6511.643</v>
      </c>
      <c r="AS136">
        <v>910.00260000000003</v>
      </c>
      <c r="AT136">
        <v>406.66250000000002</v>
      </c>
      <c r="AU136" t="s">
        <v>476</v>
      </c>
      <c r="AV136">
        <v>0</v>
      </c>
      <c r="AW136">
        <v>0</v>
      </c>
      <c r="AX136">
        <v>0</v>
      </c>
      <c r="AY136">
        <v>1</v>
      </c>
      <c r="AZ136">
        <v>910.00260000000003</v>
      </c>
      <c r="BA136">
        <v>0</v>
      </c>
      <c r="BB136">
        <v>0</v>
      </c>
      <c r="BE136">
        <v>865</v>
      </c>
      <c r="BF136">
        <v>1650.653</v>
      </c>
      <c r="BG136">
        <v>2100.9119999999998</v>
      </c>
      <c r="BH136">
        <v>378.6</v>
      </c>
      <c r="BI136">
        <v>1068.481</v>
      </c>
      <c r="BJ136">
        <v>2892.7310000000002</v>
      </c>
      <c r="BK136">
        <v>60</v>
      </c>
      <c r="BL136">
        <v>1726.9559999999999</v>
      </c>
      <c r="BM136">
        <v>1518</v>
      </c>
      <c r="BN136">
        <v>0</v>
      </c>
      <c r="BO136">
        <v>0</v>
      </c>
      <c r="BP136">
        <v>0</v>
      </c>
      <c r="BQ136">
        <v>0</v>
      </c>
      <c r="BR136">
        <v>0</v>
      </c>
      <c r="BS136">
        <v>1211</v>
      </c>
      <c r="BT136">
        <v>4338.7079999999996</v>
      </c>
      <c r="BU136">
        <v>1400</v>
      </c>
      <c r="BV136">
        <v>5015.8469999999998</v>
      </c>
      <c r="BW136">
        <v>0</v>
      </c>
      <c r="BX136">
        <v>0</v>
      </c>
      <c r="BY136">
        <v>26</v>
      </c>
      <c r="BZ136">
        <v>6825</v>
      </c>
      <c r="CA136">
        <v>5460</v>
      </c>
      <c r="CB136">
        <v>16179.55</v>
      </c>
      <c r="CC136">
        <v>5460</v>
      </c>
      <c r="CD136">
        <v>0</v>
      </c>
      <c r="CE136">
        <v>0</v>
      </c>
      <c r="CF136">
        <v>0</v>
      </c>
      <c r="CL136" t="s">
        <v>477</v>
      </c>
      <c r="CM136">
        <v>0</v>
      </c>
      <c r="CN136">
        <v>0</v>
      </c>
      <c r="CQ136" t="s">
        <v>477</v>
      </c>
      <c r="CR136">
        <v>0</v>
      </c>
      <c r="CS136">
        <v>0</v>
      </c>
      <c r="CU136">
        <v>0</v>
      </c>
      <c r="CV136">
        <v>0</v>
      </c>
      <c r="CW136" t="s">
        <v>477</v>
      </c>
      <c r="CX136">
        <v>0</v>
      </c>
      <c r="CY136">
        <v>0</v>
      </c>
      <c r="CZ136">
        <v>0</v>
      </c>
      <c r="DA136" t="s">
        <v>477</v>
      </c>
      <c r="DB136">
        <v>0</v>
      </c>
      <c r="DC136">
        <v>0</v>
      </c>
      <c r="DN136">
        <v>0</v>
      </c>
      <c r="DO136">
        <v>0</v>
      </c>
    </row>
    <row r="137" spans="2:133">
      <c r="B137" t="s">
        <v>474</v>
      </c>
      <c r="C137">
        <v>3</v>
      </c>
      <c r="D137" t="s">
        <v>472</v>
      </c>
      <c r="E137">
        <v>5</v>
      </c>
      <c r="F137" t="s">
        <v>640</v>
      </c>
      <c r="G137">
        <v>114</v>
      </c>
      <c r="H137" t="s">
        <v>617</v>
      </c>
      <c r="I137">
        <v>0</v>
      </c>
      <c r="J137">
        <v>1</v>
      </c>
      <c r="K137" t="s">
        <v>478</v>
      </c>
      <c r="L137" t="s">
        <v>482</v>
      </c>
      <c r="Y137">
        <v>96</v>
      </c>
      <c r="Z137">
        <v>75</v>
      </c>
      <c r="AA137">
        <v>95.358000000000004</v>
      </c>
      <c r="AB137">
        <v>75</v>
      </c>
      <c r="AC137">
        <v>29</v>
      </c>
      <c r="AF137">
        <v>75</v>
      </c>
      <c r="AG137">
        <v>52</v>
      </c>
      <c r="AH137">
        <v>63.062869999999997</v>
      </c>
      <c r="AI137">
        <v>75</v>
      </c>
      <c r="AJ137">
        <v>231</v>
      </c>
      <c r="AK137">
        <v>3927</v>
      </c>
      <c r="AL137">
        <v>1949.9639999999999</v>
      </c>
      <c r="AM137">
        <v>0</v>
      </c>
      <c r="AN137">
        <v>1949.9639999999999</v>
      </c>
      <c r="AR137">
        <v>563.48159999999996</v>
      </c>
      <c r="AS137">
        <v>138.6</v>
      </c>
      <c r="AT137">
        <v>35.19032</v>
      </c>
      <c r="AU137" t="s">
        <v>476</v>
      </c>
      <c r="AV137">
        <v>0</v>
      </c>
      <c r="AW137">
        <v>0</v>
      </c>
      <c r="AX137">
        <v>0</v>
      </c>
      <c r="AY137">
        <v>1</v>
      </c>
      <c r="AZ137">
        <v>138.6</v>
      </c>
      <c r="BA137">
        <v>0</v>
      </c>
      <c r="BB137">
        <v>0</v>
      </c>
      <c r="BE137">
        <v>232</v>
      </c>
      <c r="BF137">
        <v>460.25779999999997</v>
      </c>
      <c r="BG137">
        <v>563.48159999999996</v>
      </c>
      <c r="BH137">
        <v>0</v>
      </c>
      <c r="BI137">
        <v>0</v>
      </c>
      <c r="BJ137">
        <v>0</v>
      </c>
      <c r="BK137">
        <v>0</v>
      </c>
      <c r="BL137">
        <v>0</v>
      </c>
      <c r="BM137">
        <v>0</v>
      </c>
      <c r="BN137">
        <v>0</v>
      </c>
      <c r="BO137">
        <v>0</v>
      </c>
      <c r="BP137">
        <v>0</v>
      </c>
      <c r="BQ137">
        <v>0</v>
      </c>
      <c r="BR137">
        <v>0</v>
      </c>
      <c r="BS137">
        <v>185</v>
      </c>
      <c r="BT137">
        <v>662.09180000000003</v>
      </c>
      <c r="BU137">
        <v>231</v>
      </c>
      <c r="BV137">
        <v>827.61479999999995</v>
      </c>
      <c r="BW137">
        <v>0</v>
      </c>
      <c r="BX137">
        <v>0</v>
      </c>
      <c r="BY137">
        <v>0</v>
      </c>
      <c r="BZ137">
        <v>0</v>
      </c>
      <c r="CA137">
        <v>0</v>
      </c>
      <c r="CB137">
        <v>1489.7070000000001</v>
      </c>
      <c r="CC137">
        <v>0</v>
      </c>
      <c r="CD137">
        <v>0</v>
      </c>
      <c r="CE137">
        <v>0</v>
      </c>
      <c r="CF137">
        <v>0</v>
      </c>
      <c r="CL137" t="s">
        <v>477</v>
      </c>
      <c r="CM137">
        <v>0</v>
      </c>
      <c r="CN137">
        <v>0</v>
      </c>
      <c r="CQ137" t="s">
        <v>477</v>
      </c>
      <c r="CR137">
        <v>0</v>
      </c>
      <c r="CS137">
        <v>0</v>
      </c>
      <c r="CU137">
        <v>0</v>
      </c>
      <c r="CV137">
        <v>0</v>
      </c>
      <c r="CW137" t="s">
        <v>477</v>
      </c>
      <c r="CX137">
        <v>0</v>
      </c>
      <c r="CY137">
        <v>0</v>
      </c>
      <c r="CZ137">
        <v>0</v>
      </c>
      <c r="DA137" t="s">
        <v>477</v>
      </c>
      <c r="DB137">
        <v>0</v>
      </c>
      <c r="DC137">
        <v>0</v>
      </c>
      <c r="DN137">
        <v>0</v>
      </c>
      <c r="DO137">
        <v>0</v>
      </c>
    </row>
    <row r="138" spans="2:133">
      <c r="B138" t="s">
        <v>474</v>
      </c>
      <c r="C138">
        <v>3</v>
      </c>
      <c r="D138" t="s">
        <v>472</v>
      </c>
      <c r="E138">
        <v>5</v>
      </c>
      <c r="F138" t="s">
        <v>640</v>
      </c>
      <c r="G138">
        <v>123</v>
      </c>
      <c r="H138" t="s">
        <v>626</v>
      </c>
      <c r="I138">
        <v>0</v>
      </c>
      <c r="J138">
        <v>1</v>
      </c>
      <c r="K138" t="s">
        <v>478</v>
      </c>
      <c r="L138" t="s">
        <v>482</v>
      </c>
      <c r="Y138">
        <v>96</v>
      </c>
      <c r="Z138">
        <v>75</v>
      </c>
      <c r="AA138">
        <v>95.358000000000004</v>
      </c>
      <c r="AB138">
        <v>75</v>
      </c>
      <c r="AC138">
        <v>29</v>
      </c>
      <c r="AF138">
        <v>75</v>
      </c>
      <c r="AG138">
        <v>52</v>
      </c>
      <c r="AH138">
        <v>63.062869999999997</v>
      </c>
      <c r="AI138">
        <v>75</v>
      </c>
      <c r="AJ138">
        <v>330</v>
      </c>
      <c r="AK138">
        <v>5610</v>
      </c>
      <c r="AL138">
        <v>7429.7129999999997</v>
      </c>
      <c r="AM138">
        <v>3150</v>
      </c>
      <c r="AN138">
        <v>10579.71</v>
      </c>
      <c r="AR138">
        <v>801.50400000000002</v>
      </c>
      <c r="AS138">
        <v>327.7987</v>
      </c>
      <c r="AT138">
        <v>50.055199999999999</v>
      </c>
      <c r="AU138" t="s">
        <v>476</v>
      </c>
      <c r="AV138">
        <v>0</v>
      </c>
      <c r="AW138">
        <v>0</v>
      </c>
      <c r="AX138">
        <v>0</v>
      </c>
      <c r="AY138">
        <v>1</v>
      </c>
      <c r="AZ138">
        <v>327.7987</v>
      </c>
      <c r="BA138">
        <v>0</v>
      </c>
      <c r="BB138">
        <v>0</v>
      </c>
      <c r="BE138">
        <v>330</v>
      </c>
      <c r="BF138">
        <v>654.6771</v>
      </c>
      <c r="BG138">
        <v>801.50400000000002</v>
      </c>
      <c r="BH138">
        <v>0</v>
      </c>
      <c r="BI138">
        <v>0</v>
      </c>
      <c r="BJ138">
        <v>0</v>
      </c>
      <c r="BK138">
        <v>0</v>
      </c>
      <c r="BL138">
        <v>0</v>
      </c>
      <c r="BM138">
        <v>0</v>
      </c>
      <c r="BN138">
        <v>0</v>
      </c>
      <c r="BO138">
        <v>0</v>
      </c>
      <c r="BP138">
        <v>0</v>
      </c>
      <c r="BQ138">
        <v>0</v>
      </c>
      <c r="BR138">
        <v>0</v>
      </c>
      <c r="BS138">
        <v>462</v>
      </c>
      <c r="BT138">
        <v>1655.23</v>
      </c>
      <c r="BU138">
        <v>330</v>
      </c>
      <c r="BV138">
        <v>1182.307</v>
      </c>
      <c r="BW138">
        <v>0</v>
      </c>
      <c r="BX138">
        <v>0</v>
      </c>
      <c r="BY138">
        <v>15</v>
      </c>
      <c r="BZ138">
        <v>3937.5</v>
      </c>
      <c r="CA138">
        <v>3150</v>
      </c>
      <c r="CB138">
        <v>6775.0360000000001</v>
      </c>
      <c r="CC138">
        <v>3150</v>
      </c>
      <c r="CD138">
        <v>0</v>
      </c>
      <c r="CE138">
        <v>0</v>
      </c>
      <c r="CF138">
        <v>0</v>
      </c>
      <c r="CL138" t="s">
        <v>477</v>
      </c>
      <c r="CM138">
        <v>0</v>
      </c>
      <c r="CN138">
        <v>0</v>
      </c>
      <c r="CQ138" t="s">
        <v>477</v>
      </c>
      <c r="CR138">
        <v>0</v>
      </c>
      <c r="CS138">
        <v>0</v>
      </c>
      <c r="CU138">
        <v>0</v>
      </c>
      <c r="CV138">
        <v>0</v>
      </c>
      <c r="CW138" t="s">
        <v>477</v>
      </c>
      <c r="CX138">
        <v>0</v>
      </c>
      <c r="CY138">
        <v>0</v>
      </c>
      <c r="CZ138">
        <v>0</v>
      </c>
      <c r="DA138" t="s">
        <v>477</v>
      </c>
      <c r="DB138">
        <v>0</v>
      </c>
      <c r="DC138">
        <v>0</v>
      </c>
      <c r="DN138">
        <v>0</v>
      </c>
      <c r="DO138">
        <v>0</v>
      </c>
    </row>
    <row r="139" spans="2:133">
      <c r="B139" t="s">
        <v>474</v>
      </c>
      <c r="C139">
        <v>3</v>
      </c>
      <c r="D139" t="s">
        <v>472</v>
      </c>
      <c r="E139">
        <v>5</v>
      </c>
      <c r="F139" t="s">
        <v>640</v>
      </c>
      <c r="G139">
        <v>124</v>
      </c>
      <c r="H139" t="s">
        <v>627</v>
      </c>
      <c r="I139">
        <v>0</v>
      </c>
      <c r="J139">
        <v>1</v>
      </c>
      <c r="K139" t="s">
        <v>478</v>
      </c>
      <c r="L139" t="s">
        <v>482</v>
      </c>
      <c r="Y139">
        <v>96</v>
      </c>
      <c r="Z139">
        <v>75</v>
      </c>
      <c r="AA139">
        <v>95.358000000000004</v>
      </c>
      <c r="AB139">
        <v>75</v>
      </c>
      <c r="AC139">
        <v>29</v>
      </c>
      <c r="AF139">
        <v>75</v>
      </c>
      <c r="AG139">
        <v>52</v>
      </c>
      <c r="AH139">
        <v>63.062869999999997</v>
      </c>
      <c r="AI139">
        <v>75</v>
      </c>
      <c r="AJ139">
        <v>330</v>
      </c>
      <c r="AK139">
        <v>5610</v>
      </c>
      <c r="AL139">
        <v>7429.7129999999997</v>
      </c>
      <c r="AM139">
        <v>3150</v>
      </c>
      <c r="AN139">
        <v>10579.71</v>
      </c>
      <c r="AR139">
        <v>801.50400000000002</v>
      </c>
      <c r="AS139">
        <v>327.7987</v>
      </c>
      <c r="AT139">
        <v>50.055199999999999</v>
      </c>
      <c r="AU139" t="s">
        <v>476</v>
      </c>
      <c r="AV139">
        <v>0</v>
      </c>
      <c r="AW139">
        <v>0</v>
      </c>
      <c r="AX139">
        <v>0</v>
      </c>
      <c r="AY139">
        <v>1</v>
      </c>
      <c r="AZ139">
        <v>327.7987</v>
      </c>
      <c r="BA139">
        <v>0</v>
      </c>
      <c r="BB139">
        <v>0</v>
      </c>
      <c r="BE139">
        <v>330</v>
      </c>
      <c r="BF139">
        <v>654.6771</v>
      </c>
      <c r="BG139">
        <v>801.50400000000002</v>
      </c>
      <c r="BH139">
        <v>0</v>
      </c>
      <c r="BI139">
        <v>0</v>
      </c>
      <c r="BJ139">
        <v>0</v>
      </c>
      <c r="BK139">
        <v>0</v>
      </c>
      <c r="BL139">
        <v>0</v>
      </c>
      <c r="BM139">
        <v>0</v>
      </c>
      <c r="BN139">
        <v>0</v>
      </c>
      <c r="BO139">
        <v>0</v>
      </c>
      <c r="BP139">
        <v>0</v>
      </c>
      <c r="BQ139">
        <v>0</v>
      </c>
      <c r="BR139">
        <v>0</v>
      </c>
      <c r="BS139">
        <v>462</v>
      </c>
      <c r="BT139">
        <v>1655.23</v>
      </c>
      <c r="BU139">
        <v>330</v>
      </c>
      <c r="BV139">
        <v>1182.307</v>
      </c>
      <c r="BW139">
        <v>0</v>
      </c>
      <c r="BX139">
        <v>0</v>
      </c>
      <c r="BY139">
        <v>15</v>
      </c>
      <c r="BZ139">
        <v>3937.5</v>
      </c>
      <c r="CA139">
        <v>3150</v>
      </c>
      <c r="CB139">
        <v>6775.0360000000001</v>
      </c>
      <c r="CC139">
        <v>3150</v>
      </c>
      <c r="CD139">
        <v>0</v>
      </c>
      <c r="CE139">
        <v>0</v>
      </c>
      <c r="CF139">
        <v>0</v>
      </c>
      <c r="CL139" t="s">
        <v>477</v>
      </c>
      <c r="CM139">
        <v>0</v>
      </c>
      <c r="CN139">
        <v>0</v>
      </c>
      <c r="CQ139" t="s">
        <v>477</v>
      </c>
      <c r="CR139">
        <v>0</v>
      </c>
      <c r="CS139">
        <v>0</v>
      </c>
      <c r="CU139">
        <v>0</v>
      </c>
      <c r="CV139">
        <v>0</v>
      </c>
      <c r="CW139" t="s">
        <v>477</v>
      </c>
      <c r="CX139">
        <v>0</v>
      </c>
      <c r="CY139">
        <v>0</v>
      </c>
      <c r="CZ139">
        <v>0</v>
      </c>
      <c r="DA139" t="s">
        <v>477</v>
      </c>
      <c r="DB139">
        <v>0</v>
      </c>
      <c r="DC139">
        <v>0</v>
      </c>
      <c r="DN139">
        <v>0</v>
      </c>
      <c r="DO139">
        <v>0</v>
      </c>
    </row>
    <row r="140" spans="2:133">
      <c r="B140" t="s">
        <v>474</v>
      </c>
      <c r="C140">
        <v>3</v>
      </c>
      <c r="D140" t="s">
        <v>472</v>
      </c>
      <c r="E140">
        <v>5</v>
      </c>
      <c r="F140" t="s">
        <v>640</v>
      </c>
      <c r="G140">
        <v>129</v>
      </c>
      <c r="H140" t="s">
        <v>632</v>
      </c>
      <c r="I140">
        <v>0</v>
      </c>
      <c r="J140">
        <v>1</v>
      </c>
      <c r="K140" t="s">
        <v>478</v>
      </c>
      <c r="L140" t="s">
        <v>482</v>
      </c>
      <c r="Y140">
        <v>96</v>
      </c>
      <c r="Z140">
        <v>75</v>
      </c>
      <c r="AA140">
        <v>95.358000000000004</v>
      </c>
      <c r="AB140">
        <v>75</v>
      </c>
      <c r="AC140">
        <v>29</v>
      </c>
      <c r="AF140">
        <v>75</v>
      </c>
      <c r="AG140">
        <v>52</v>
      </c>
      <c r="AH140">
        <v>63.062869999999997</v>
      </c>
      <c r="AI140">
        <v>75</v>
      </c>
      <c r="AJ140">
        <v>830</v>
      </c>
      <c r="AK140">
        <v>14110</v>
      </c>
      <c r="AL140">
        <v>16934.060000000001</v>
      </c>
      <c r="AM140">
        <v>5460</v>
      </c>
      <c r="AN140">
        <v>22394.06</v>
      </c>
      <c r="AR140">
        <v>2015.904</v>
      </c>
      <c r="AS140">
        <v>747.13019999999995</v>
      </c>
      <c r="AT140">
        <v>125.8964</v>
      </c>
      <c r="AU140" t="s">
        <v>476</v>
      </c>
      <c r="AV140">
        <v>0</v>
      </c>
      <c r="AW140">
        <v>0</v>
      </c>
      <c r="AX140">
        <v>0</v>
      </c>
      <c r="AY140">
        <v>1</v>
      </c>
      <c r="AZ140">
        <v>747.13019999999995</v>
      </c>
      <c r="BA140">
        <v>0</v>
      </c>
      <c r="BB140">
        <v>0</v>
      </c>
      <c r="BE140">
        <v>830</v>
      </c>
      <c r="BF140">
        <v>1646.6120000000001</v>
      </c>
      <c r="BG140">
        <v>2015.904</v>
      </c>
      <c r="BH140">
        <v>0</v>
      </c>
      <c r="BI140">
        <v>0</v>
      </c>
      <c r="BJ140">
        <v>0</v>
      </c>
      <c r="BK140">
        <v>0</v>
      </c>
      <c r="BL140">
        <v>0</v>
      </c>
      <c r="BM140">
        <v>0</v>
      </c>
      <c r="BN140">
        <v>0</v>
      </c>
      <c r="BO140">
        <v>0</v>
      </c>
      <c r="BP140">
        <v>0</v>
      </c>
      <c r="BQ140">
        <v>0</v>
      </c>
      <c r="BR140">
        <v>0</v>
      </c>
      <c r="BS140">
        <v>1162</v>
      </c>
      <c r="BT140">
        <v>4163.1530000000002</v>
      </c>
      <c r="BU140">
        <v>1200</v>
      </c>
      <c r="BV140">
        <v>4299.2979999999998</v>
      </c>
      <c r="BW140">
        <v>0</v>
      </c>
      <c r="BX140">
        <v>0</v>
      </c>
      <c r="BY140">
        <v>26</v>
      </c>
      <c r="BZ140">
        <v>6825</v>
      </c>
      <c r="CA140">
        <v>5460</v>
      </c>
      <c r="CB140">
        <v>15287.45</v>
      </c>
      <c r="CC140">
        <v>5460</v>
      </c>
      <c r="CD140">
        <v>0</v>
      </c>
      <c r="CE140">
        <v>0</v>
      </c>
      <c r="CF140">
        <v>0</v>
      </c>
      <c r="CL140" t="s">
        <v>477</v>
      </c>
      <c r="CM140">
        <v>0</v>
      </c>
      <c r="CN140">
        <v>0</v>
      </c>
      <c r="CQ140" t="s">
        <v>477</v>
      </c>
      <c r="CR140">
        <v>0</v>
      </c>
      <c r="CS140">
        <v>0</v>
      </c>
      <c r="CU140">
        <v>0</v>
      </c>
      <c r="CV140">
        <v>0</v>
      </c>
      <c r="CW140" t="s">
        <v>477</v>
      </c>
      <c r="CX140">
        <v>0</v>
      </c>
      <c r="CY140">
        <v>0</v>
      </c>
      <c r="CZ140">
        <v>0</v>
      </c>
      <c r="DA140" t="s">
        <v>477</v>
      </c>
      <c r="DB140">
        <v>0</v>
      </c>
      <c r="DC140">
        <v>0</v>
      </c>
      <c r="DN140">
        <v>0</v>
      </c>
      <c r="DO140">
        <v>0</v>
      </c>
    </row>
    <row r="141" spans="2:133">
      <c r="B141" t="s">
        <v>480</v>
      </c>
      <c r="C141">
        <v>5</v>
      </c>
      <c r="D141" t="s">
        <v>472</v>
      </c>
      <c r="E141">
        <v>5</v>
      </c>
      <c r="F141" t="s">
        <v>640</v>
      </c>
      <c r="J141">
        <v>1</v>
      </c>
      <c r="AJ141">
        <v>13924</v>
      </c>
      <c r="AK141">
        <v>236708</v>
      </c>
      <c r="AL141">
        <v>301598.59999999998</v>
      </c>
      <c r="AM141">
        <v>77489.990000000005</v>
      </c>
      <c r="AN141">
        <v>379088.6</v>
      </c>
      <c r="AR141">
        <v>100019.9</v>
      </c>
      <c r="AS141">
        <v>13798.93</v>
      </c>
      <c r="AT141">
        <v>6246.4040000000005</v>
      </c>
    </row>
    <row r="142" spans="2:133">
      <c r="B142" t="s">
        <v>82</v>
      </c>
      <c r="C142">
        <v>1</v>
      </c>
      <c r="D142" t="s">
        <v>472</v>
      </c>
      <c r="E142">
        <v>5</v>
      </c>
      <c r="F142" t="s">
        <v>640</v>
      </c>
      <c r="J142">
        <v>1</v>
      </c>
      <c r="K142" t="s">
        <v>478</v>
      </c>
      <c r="L142" t="s">
        <v>482</v>
      </c>
      <c r="Y142">
        <v>96</v>
      </c>
      <c r="Z142">
        <v>75</v>
      </c>
      <c r="AA142">
        <v>95.358000000000004</v>
      </c>
      <c r="AB142">
        <v>75</v>
      </c>
      <c r="AC142">
        <v>29</v>
      </c>
      <c r="AD142" t="s">
        <v>637</v>
      </c>
      <c r="AE142">
        <v>2</v>
      </c>
      <c r="AF142">
        <v>75</v>
      </c>
      <c r="AG142">
        <v>52</v>
      </c>
      <c r="AH142">
        <v>63.062869999999997</v>
      </c>
      <c r="AI142">
        <v>75</v>
      </c>
      <c r="AJ142">
        <v>13924</v>
      </c>
      <c r="AK142">
        <v>236708</v>
      </c>
      <c r="AL142">
        <v>311870.09999999998</v>
      </c>
      <c r="AM142">
        <v>77489.990000000005</v>
      </c>
      <c r="AN142">
        <v>389360.1</v>
      </c>
      <c r="AO142">
        <v>0</v>
      </c>
      <c r="AP142">
        <v>32.446669999999997</v>
      </c>
      <c r="AQ142">
        <v>0</v>
      </c>
      <c r="AR142">
        <v>100019.9</v>
      </c>
      <c r="AS142">
        <v>13675.44</v>
      </c>
      <c r="AT142">
        <v>6246.4040000000005</v>
      </c>
      <c r="AU142" t="s">
        <v>476</v>
      </c>
      <c r="AV142">
        <v>0</v>
      </c>
      <c r="AW142">
        <v>0</v>
      </c>
      <c r="AX142">
        <v>0</v>
      </c>
      <c r="BA142">
        <v>0</v>
      </c>
      <c r="BB142">
        <v>0</v>
      </c>
      <c r="BC142">
        <v>311870.09999999998</v>
      </c>
      <c r="BD142">
        <v>0</v>
      </c>
      <c r="BE142">
        <v>13925</v>
      </c>
      <c r="BF142">
        <v>27625.39</v>
      </c>
      <c r="BG142">
        <v>33821.040000000001</v>
      </c>
      <c r="BH142">
        <v>6653.5</v>
      </c>
      <c r="BI142">
        <v>22605.81</v>
      </c>
      <c r="BJ142">
        <v>50836.73</v>
      </c>
      <c r="BK142">
        <v>607.20000000000005</v>
      </c>
      <c r="BL142">
        <v>18506.849999999999</v>
      </c>
      <c r="BM142">
        <v>15362.16</v>
      </c>
      <c r="BN142">
        <v>0</v>
      </c>
      <c r="BO142">
        <v>0</v>
      </c>
      <c r="BP142">
        <v>0</v>
      </c>
      <c r="BQ142">
        <v>0</v>
      </c>
      <c r="BR142">
        <v>0</v>
      </c>
      <c r="BS142">
        <v>17797</v>
      </c>
      <c r="BT142">
        <v>63755.71</v>
      </c>
      <c r="BU142">
        <v>19384</v>
      </c>
      <c r="BV142">
        <v>69447.990000000005</v>
      </c>
      <c r="BW142">
        <v>0</v>
      </c>
      <c r="BX142">
        <v>0</v>
      </c>
      <c r="BY142">
        <v>369</v>
      </c>
      <c r="BZ142">
        <v>96862.5</v>
      </c>
      <c r="CA142">
        <v>77489.990000000005</v>
      </c>
      <c r="CB142">
        <v>230066.2</v>
      </c>
      <c r="CC142">
        <v>77489.990000000005</v>
      </c>
      <c r="CD142">
        <v>0</v>
      </c>
      <c r="CE142">
        <v>0</v>
      </c>
      <c r="CF142">
        <v>0</v>
      </c>
      <c r="CG142">
        <v>0</v>
      </c>
      <c r="CH142">
        <v>0</v>
      </c>
      <c r="CI142">
        <v>0</v>
      </c>
      <c r="CJ142">
        <v>0</v>
      </c>
      <c r="CK142">
        <v>0</v>
      </c>
      <c r="CM142">
        <v>0</v>
      </c>
      <c r="CN142">
        <v>0</v>
      </c>
      <c r="CO142">
        <v>0</v>
      </c>
      <c r="CP142">
        <v>0</v>
      </c>
      <c r="CR142">
        <v>0</v>
      </c>
      <c r="CS142">
        <v>0</v>
      </c>
      <c r="CT142">
        <v>0</v>
      </c>
      <c r="CU142">
        <v>0</v>
      </c>
      <c r="CV142">
        <v>0</v>
      </c>
      <c r="CX142">
        <v>0</v>
      </c>
      <c r="CY142">
        <v>0</v>
      </c>
      <c r="CZ142">
        <v>0</v>
      </c>
      <c r="DB142">
        <v>0</v>
      </c>
      <c r="DC142">
        <v>0</v>
      </c>
      <c r="DD142">
        <v>1904.953</v>
      </c>
      <c r="DE142">
        <v>0</v>
      </c>
      <c r="DF142">
        <v>11160.85</v>
      </c>
      <c r="DG142">
        <v>0</v>
      </c>
      <c r="DH142">
        <v>0</v>
      </c>
      <c r="DI142">
        <v>0</v>
      </c>
      <c r="DJ142">
        <v>0</v>
      </c>
      <c r="DK142">
        <v>0</v>
      </c>
      <c r="DL142">
        <v>0</v>
      </c>
      <c r="DM142">
        <v>0</v>
      </c>
      <c r="DR142">
        <v>0</v>
      </c>
      <c r="DS142">
        <v>0</v>
      </c>
      <c r="DT142">
        <v>54.025500000000001</v>
      </c>
      <c r="DU142">
        <v>53.212890000000002</v>
      </c>
      <c r="DV142">
        <v>95</v>
      </c>
      <c r="DW142">
        <v>22.21068</v>
      </c>
      <c r="DX142">
        <v>75</v>
      </c>
      <c r="DY142">
        <v>63.059690000000003</v>
      </c>
      <c r="DZ142">
        <v>51.989710000000002</v>
      </c>
      <c r="EA142">
        <v>28.64207</v>
      </c>
      <c r="EB142">
        <v>90</v>
      </c>
      <c r="EC142">
        <v>75</v>
      </c>
    </row>
    <row r="143" spans="2:133">
      <c r="B143" t="s">
        <v>474</v>
      </c>
      <c r="C143">
        <v>3</v>
      </c>
      <c r="D143" t="s">
        <v>472</v>
      </c>
      <c r="E143">
        <v>6</v>
      </c>
      <c r="F143" t="s">
        <v>641</v>
      </c>
      <c r="G143">
        <v>130</v>
      </c>
      <c r="H143" t="s">
        <v>633</v>
      </c>
      <c r="I143">
        <v>0</v>
      </c>
      <c r="J143">
        <v>1</v>
      </c>
      <c r="K143" t="s">
        <v>478</v>
      </c>
      <c r="L143" t="s">
        <v>482</v>
      </c>
      <c r="Y143">
        <v>96</v>
      </c>
      <c r="Z143">
        <v>75</v>
      </c>
      <c r="AA143">
        <v>95.358000000000004</v>
      </c>
      <c r="AB143">
        <v>75</v>
      </c>
      <c r="AC143">
        <v>29</v>
      </c>
      <c r="AF143">
        <v>75</v>
      </c>
      <c r="AG143">
        <v>51</v>
      </c>
      <c r="AH143">
        <v>62.78199</v>
      </c>
      <c r="AI143">
        <v>75</v>
      </c>
      <c r="AJ143">
        <v>2975</v>
      </c>
      <c r="AK143">
        <v>50575</v>
      </c>
      <c r="AL143">
        <v>43001.1</v>
      </c>
      <c r="AM143">
        <v>10920</v>
      </c>
      <c r="AN143">
        <v>53921.1</v>
      </c>
      <c r="AR143">
        <v>7225.6809999999996</v>
      </c>
      <c r="AS143">
        <v>2500</v>
      </c>
      <c r="AT143">
        <v>451.25529999999998</v>
      </c>
      <c r="AU143" t="s">
        <v>476</v>
      </c>
      <c r="AV143">
        <v>0</v>
      </c>
      <c r="AW143">
        <v>0</v>
      </c>
      <c r="AX143">
        <v>0</v>
      </c>
      <c r="AY143">
        <v>1</v>
      </c>
      <c r="AZ143">
        <v>2500</v>
      </c>
      <c r="BA143">
        <v>0</v>
      </c>
      <c r="BB143">
        <v>0</v>
      </c>
      <c r="BE143">
        <v>2975</v>
      </c>
      <c r="BF143">
        <v>5902.0129999999999</v>
      </c>
      <c r="BG143">
        <v>7225.6809999999996</v>
      </c>
      <c r="BH143">
        <v>0</v>
      </c>
      <c r="BI143">
        <v>0</v>
      </c>
      <c r="BJ143">
        <v>0</v>
      </c>
      <c r="BK143">
        <v>0</v>
      </c>
      <c r="BL143">
        <v>0</v>
      </c>
      <c r="BM143">
        <v>0</v>
      </c>
      <c r="BN143">
        <v>0</v>
      </c>
      <c r="BO143">
        <v>0</v>
      </c>
      <c r="BP143">
        <v>0</v>
      </c>
      <c r="BQ143">
        <v>0</v>
      </c>
      <c r="BR143">
        <v>0</v>
      </c>
      <c r="BS143">
        <v>3570</v>
      </c>
      <c r="BT143">
        <v>12790.41</v>
      </c>
      <c r="BU143">
        <v>2975</v>
      </c>
      <c r="BV143">
        <v>10658.68</v>
      </c>
      <c r="BW143">
        <v>0</v>
      </c>
      <c r="BX143">
        <v>0</v>
      </c>
      <c r="BY143">
        <v>52</v>
      </c>
      <c r="BZ143">
        <v>13650</v>
      </c>
      <c r="CA143">
        <v>10920</v>
      </c>
      <c r="CB143">
        <v>37099.089999999997</v>
      </c>
      <c r="CC143">
        <v>10920</v>
      </c>
      <c r="CD143">
        <v>0</v>
      </c>
      <c r="CE143">
        <v>0</v>
      </c>
      <c r="CF143">
        <v>0</v>
      </c>
      <c r="CL143" t="s">
        <v>477</v>
      </c>
      <c r="CM143">
        <v>0</v>
      </c>
      <c r="CN143">
        <v>0</v>
      </c>
      <c r="CQ143" t="s">
        <v>477</v>
      </c>
      <c r="CR143">
        <v>0</v>
      </c>
      <c r="CS143">
        <v>0</v>
      </c>
      <c r="CU143">
        <v>0</v>
      </c>
      <c r="CV143">
        <v>0</v>
      </c>
      <c r="CW143" t="s">
        <v>477</v>
      </c>
      <c r="CX143">
        <v>0</v>
      </c>
      <c r="CY143">
        <v>0</v>
      </c>
      <c r="CZ143">
        <v>0</v>
      </c>
      <c r="DA143" t="s">
        <v>477</v>
      </c>
      <c r="DB143">
        <v>0</v>
      </c>
      <c r="DC143">
        <v>0</v>
      </c>
      <c r="DN143">
        <v>0</v>
      </c>
      <c r="DO143">
        <v>0</v>
      </c>
    </row>
    <row r="144" spans="2:133">
      <c r="B144" t="s">
        <v>474</v>
      </c>
      <c r="C144">
        <v>3</v>
      </c>
      <c r="D144" t="s">
        <v>472</v>
      </c>
      <c r="E144">
        <v>6</v>
      </c>
      <c r="F144" t="s">
        <v>641</v>
      </c>
      <c r="G144">
        <v>131</v>
      </c>
      <c r="H144" t="s">
        <v>634</v>
      </c>
      <c r="I144">
        <v>0</v>
      </c>
      <c r="J144">
        <v>1</v>
      </c>
      <c r="K144" t="s">
        <v>478</v>
      </c>
      <c r="L144" t="s">
        <v>482</v>
      </c>
      <c r="Y144">
        <v>96</v>
      </c>
      <c r="Z144">
        <v>75</v>
      </c>
      <c r="AA144">
        <v>95.358000000000004</v>
      </c>
      <c r="AB144">
        <v>75</v>
      </c>
      <c r="AC144">
        <v>29</v>
      </c>
      <c r="AF144">
        <v>75</v>
      </c>
      <c r="AG144">
        <v>51</v>
      </c>
      <c r="AH144">
        <v>62.78199</v>
      </c>
      <c r="AI144">
        <v>75</v>
      </c>
      <c r="AJ144">
        <v>244</v>
      </c>
      <c r="AK144">
        <v>4148</v>
      </c>
      <c r="AL144">
        <v>2057.607</v>
      </c>
      <c r="AM144">
        <v>0</v>
      </c>
      <c r="AN144">
        <v>2057.607</v>
      </c>
      <c r="AR144">
        <v>592.62729999999999</v>
      </c>
      <c r="AS144">
        <v>195.2</v>
      </c>
      <c r="AT144">
        <v>37.01052</v>
      </c>
      <c r="AU144" t="s">
        <v>476</v>
      </c>
      <c r="AV144">
        <v>0</v>
      </c>
      <c r="AW144">
        <v>0</v>
      </c>
      <c r="AX144">
        <v>0</v>
      </c>
      <c r="AY144">
        <v>1</v>
      </c>
      <c r="AZ144">
        <v>195.2</v>
      </c>
      <c r="BA144">
        <v>0</v>
      </c>
      <c r="BB144">
        <v>0</v>
      </c>
      <c r="BE144">
        <v>244</v>
      </c>
      <c r="BF144">
        <v>484.06420000000003</v>
      </c>
      <c r="BG144">
        <v>592.62729999999999</v>
      </c>
      <c r="BH144">
        <v>0</v>
      </c>
      <c r="BI144">
        <v>0</v>
      </c>
      <c r="BJ144">
        <v>0</v>
      </c>
      <c r="BK144">
        <v>0</v>
      </c>
      <c r="BL144">
        <v>0</v>
      </c>
      <c r="BM144">
        <v>0</v>
      </c>
      <c r="BN144">
        <v>0</v>
      </c>
      <c r="BO144">
        <v>0</v>
      </c>
      <c r="BP144">
        <v>0</v>
      </c>
      <c r="BQ144">
        <v>0</v>
      </c>
      <c r="BR144">
        <v>0</v>
      </c>
      <c r="BS144">
        <v>195</v>
      </c>
      <c r="BT144">
        <v>699.35239999999999</v>
      </c>
      <c r="BU144">
        <v>244</v>
      </c>
      <c r="BV144">
        <v>874.19050000000004</v>
      </c>
      <c r="BW144">
        <v>0</v>
      </c>
      <c r="BX144">
        <v>0</v>
      </c>
      <c r="BY144">
        <v>0</v>
      </c>
      <c r="BZ144">
        <v>0</v>
      </c>
      <c r="CA144">
        <v>0</v>
      </c>
      <c r="CB144">
        <v>1573.5429999999999</v>
      </c>
      <c r="CC144">
        <v>0</v>
      </c>
      <c r="CD144">
        <v>0</v>
      </c>
      <c r="CE144">
        <v>0</v>
      </c>
      <c r="CF144">
        <v>0</v>
      </c>
      <c r="CL144" t="s">
        <v>477</v>
      </c>
      <c r="CM144">
        <v>0</v>
      </c>
      <c r="CN144">
        <v>0</v>
      </c>
      <c r="CQ144" t="s">
        <v>477</v>
      </c>
      <c r="CR144">
        <v>0</v>
      </c>
      <c r="CS144">
        <v>0</v>
      </c>
      <c r="CU144">
        <v>0</v>
      </c>
      <c r="CV144">
        <v>0</v>
      </c>
      <c r="CW144" t="s">
        <v>477</v>
      </c>
      <c r="CX144">
        <v>0</v>
      </c>
      <c r="CY144">
        <v>0</v>
      </c>
      <c r="CZ144">
        <v>0</v>
      </c>
      <c r="DA144" t="s">
        <v>477</v>
      </c>
      <c r="DB144">
        <v>0</v>
      </c>
      <c r="DC144">
        <v>0</v>
      </c>
      <c r="DN144">
        <v>0</v>
      </c>
      <c r="DO144">
        <v>0</v>
      </c>
    </row>
    <row r="145" spans="2:133">
      <c r="B145" t="s">
        <v>474</v>
      </c>
      <c r="C145">
        <v>3</v>
      </c>
      <c r="D145" t="s">
        <v>472</v>
      </c>
      <c r="E145">
        <v>6</v>
      </c>
      <c r="F145" t="s">
        <v>641</v>
      </c>
      <c r="G145">
        <v>132</v>
      </c>
      <c r="H145" t="s">
        <v>635</v>
      </c>
      <c r="I145">
        <v>0</v>
      </c>
      <c r="J145">
        <v>1</v>
      </c>
      <c r="K145" t="s">
        <v>478</v>
      </c>
      <c r="L145" t="s">
        <v>482</v>
      </c>
      <c r="Y145">
        <v>96</v>
      </c>
      <c r="Z145">
        <v>75</v>
      </c>
      <c r="AA145">
        <v>95.358000000000004</v>
      </c>
      <c r="AB145">
        <v>75</v>
      </c>
      <c r="AC145">
        <v>29</v>
      </c>
      <c r="AF145">
        <v>75</v>
      </c>
      <c r="AG145">
        <v>51</v>
      </c>
      <c r="AH145">
        <v>62.78199</v>
      </c>
      <c r="AI145">
        <v>75</v>
      </c>
      <c r="AJ145">
        <v>303</v>
      </c>
      <c r="AK145">
        <v>5151</v>
      </c>
      <c r="AL145">
        <v>9750.1569999999992</v>
      </c>
      <c r="AM145">
        <v>1050</v>
      </c>
      <c r="AN145">
        <v>10800.16</v>
      </c>
      <c r="AR145">
        <v>735.92639999999994</v>
      </c>
      <c r="AS145">
        <v>445.21839999999997</v>
      </c>
      <c r="AT145">
        <v>45.959780000000002</v>
      </c>
      <c r="AU145" t="s">
        <v>476</v>
      </c>
      <c r="AV145">
        <v>0</v>
      </c>
      <c r="AW145">
        <v>0</v>
      </c>
      <c r="AX145">
        <v>0</v>
      </c>
      <c r="AY145">
        <v>1</v>
      </c>
      <c r="AZ145">
        <v>445.21839999999997</v>
      </c>
      <c r="BA145">
        <v>0</v>
      </c>
      <c r="BB145">
        <v>0</v>
      </c>
      <c r="BE145">
        <v>303</v>
      </c>
      <c r="BF145">
        <v>601.11260000000004</v>
      </c>
      <c r="BG145">
        <v>735.92639999999994</v>
      </c>
      <c r="BH145">
        <v>0</v>
      </c>
      <c r="BI145">
        <v>0</v>
      </c>
      <c r="BJ145">
        <v>0</v>
      </c>
      <c r="BK145">
        <v>0</v>
      </c>
      <c r="BL145">
        <v>0</v>
      </c>
      <c r="BM145">
        <v>0</v>
      </c>
      <c r="BN145">
        <v>0</v>
      </c>
      <c r="BO145">
        <v>0</v>
      </c>
      <c r="BP145">
        <v>0</v>
      </c>
      <c r="BQ145">
        <v>0</v>
      </c>
      <c r="BR145">
        <v>0</v>
      </c>
      <c r="BS145">
        <v>333</v>
      </c>
      <c r="BT145">
        <v>1194.1300000000001</v>
      </c>
      <c r="BU145">
        <v>1854</v>
      </c>
      <c r="BV145">
        <v>6642.415</v>
      </c>
      <c r="BW145">
        <v>0</v>
      </c>
      <c r="BX145">
        <v>0</v>
      </c>
      <c r="BY145">
        <v>5</v>
      </c>
      <c r="BZ145">
        <v>1312.5</v>
      </c>
      <c r="CA145">
        <v>1050</v>
      </c>
      <c r="CB145">
        <v>9149.0450000000001</v>
      </c>
      <c r="CC145">
        <v>1050</v>
      </c>
      <c r="CD145">
        <v>0</v>
      </c>
      <c r="CE145">
        <v>0</v>
      </c>
      <c r="CF145">
        <v>0</v>
      </c>
      <c r="CL145" t="s">
        <v>477</v>
      </c>
      <c r="CM145">
        <v>0</v>
      </c>
      <c r="CN145">
        <v>0</v>
      </c>
      <c r="CQ145" t="s">
        <v>477</v>
      </c>
      <c r="CR145">
        <v>0</v>
      </c>
      <c r="CS145">
        <v>0</v>
      </c>
      <c r="CU145">
        <v>0</v>
      </c>
      <c r="CV145">
        <v>0</v>
      </c>
      <c r="CW145" t="s">
        <v>477</v>
      </c>
      <c r="CX145">
        <v>0</v>
      </c>
      <c r="CY145">
        <v>0</v>
      </c>
      <c r="CZ145">
        <v>0</v>
      </c>
      <c r="DA145" t="s">
        <v>477</v>
      </c>
      <c r="DB145">
        <v>0</v>
      </c>
      <c r="DC145">
        <v>0</v>
      </c>
      <c r="DN145">
        <v>0</v>
      </c>
      <c r="DO145">
        <v>0</v>
      </c>
    </row>
    <row r="146" spans="2:133">
      <c r="B146" t="s">
        <v>474</v>
      </c>
      <c r="C146">
        <v>3</v>
      </c>
      <c r="D146" t="s">
        <v>472</v>
      </c>
      <c r="E146">
        <v>6</v>
      </c>
      <c r="F146" t="s">
        <v>641</v>
      </c>
      <c r="G146">
        <v>133</v>
      </c>
      <c r="H146" t="s">
        <v>636</v>
      </c>
      <c r="I146">
        <v>0</v>
      </c>
      <c r="J146">
        <v>1</v>
      </c>
      <c r="K146" t="s">
        <v>478</v>
      </c>
      <c r="L146" t="s">
        <v>482</v>
      </c>
      <c r="Y146">
        <v>96</v>
      </c>
      <c r="Z146">
        <v>75</v>
      </c>
      <c r="AA146">
        <v>95.358000000000004</v>
      </c>
      <c r="AB146">
        <v>75</v>
      </c>
      <c r="AC146">
        <v>29</v>
      </c>
      <c r="AF146">
        <v>75</v>
      </c>
      <c r="AG146">
        <v>51</v>
      </c>
      <c r="AH146">
        <v>62.78199</v>
      </c>
      <c r="AI146">
        <v>75</v>
      </c>
      <c r="AJ146">
        <v>100</v>
      </c>
      <c r="AK146">
        <v>1700</v>
      </c>
      <c r="AL146">
        <v>843.28160000000003</v>
      </c>
      <c r="AM146">
        <v>0</v>
      </c>
      <c r="AN146">
        <v>843.28160000000003</v>
      </c>
      <c r="AR146">
        <v>242.88</v>
      </c>
      <c r="AS146">
        <v>80</v>
      </c>
      <c r="AT146">
        <v>15.168240000000001</v>
      </c>
      <c r="AU146" t="s">
        <v>476</v>
      </c>
      <c r="AV146">
        <v>0</v>
      </c>
      <c r="AW146">
        <v>0</v>
      </c>
      <c r="AX146">
        <v>0</v>
      </c>
      <c r="AY146">
        <v>1</v>
      </c>
      <c r="AZ146">
        <v>80</v>
      </c>
      <c r="BA146">
        <v>0</v>
      </c>
      <c r="BB146">
        <v>0</v>
      </c>
      <c r="BE146">
        <v>100</v>
      </c>
      <c r="BF146">
        <v>198.387</v>
      </c>
      <c r="BG146">
        <v>242.88</v>
      </c>
      <c r="BH146">
        <v>0</v>
      </c>
      <c r="BI146">
        <v>0</v>
      </c>
      <c r="BJ146">
        <v>0</v>
      </c>
      <c r="BK146">
        <v>0</v>
      </c>
      <c r="BL146">
        <v>0</v>
      </c>
      <c r="BM146">
        <v>0</v>
      </c>
      <c r="BN146">
        <v>0</v>
      </c>
      <c r="BO146">
        <v>0</v>
      </c>
      <c r="BP146">
        <v>0</v>
      </c>
      <c r="BQ146">
        <v>0</v>
      </c>
      <c r="BR146">
        <v>0</v>
      </c>
      <c r="BS146">
        <v>80</v>
      </c>
      <c r="BT146">
        <v>286.6198</v>
      </c>
      <c r="BU146">
        <v>100</v>
      </c>
      <c r="BV146">
        <v>358.27480000000003</v>
      </c>
      <c r="BW146">
        <v>0</v>
      </c>
      <c r="BX146">
        <v>0</v>
      </c>
      <c r="BY146">
        <v>0</v>
      </c>
      <c r="BZ146">
        <v>0</v>
      </c>
      <c r="CA146">
        <v>0</v>
      </c>
      <c r="CB146">
        <v>644.89469999999994</v>
      </c>
      <c r="CC146">
        <v>0</v>
      </c>
      <c r="CD146">
        <v>0</v>
      </c>
      <c r="CE146">
        <v>0</v>
      </c>
      <c r="CF146">
        <v>0</v>
      </c>
      <c r="CL146" t="s">
        <v>477</v>
      </c>
      <c r="CM146">
        <v>0</v>
      </c>
      <c r="CN146">
        <v>0</v>
      </c>
      <c r="CQ146" t="s">
        <v>477</v>
      </c>
      <c r="CR146">
        <v>0</v>
      </c>
      <c r="CS146">
        <v>0</v>
      </c>
      <c r="CU146">
        <v>0</v>
      </c>
      <c r="CV146">
        <v>0</v>
      </c>
      <c r="CW146" t="s">
        <v>477</v>
      </c>
      <c r="CX146">
        <v>0</v>
      </c>
      <c r="CY146">
        <v>0</v>
      </c>
      <c r="CZ146">
        <v>0</v>
      </c>
      <c r="DA146" t="s">
        <v>477</v>
      </c>
      <c r="DB146">
        <v>0</v>
      </c>
      <c r="DC146">
        <v>0</v>
      </c>
      <c r="DN146">
        <v>0</v>
      </c>
      <c r="DO146">
        <v>0</v>
      </c>
    </row>
    <row r="147" spans="2:133">
      <c r="B147" t="s">
        <v>480</v>
      </c>
      <c r="C147">
        <v>5</v>
      </c>
      <c r="D147" t="s">
        <v>472</v>
      </c>
      <c r="E147">
        <v>6</v>
      </c>
      <c r="F147" t="s">
        <v>641</v>
      </c>
      <c r="J147">
        <v>1</v>
      </c>
      <c r="AJ147">
        <v>3622</v>
      </c>
      <c r="AK147">
        <v>61574</v>
      </c>
      <c r="AL147">
        <v>55652.14</v>
      </c>
      <c r="AM147">
        <v>11970</v>
      </c>
      <c r="AN147">
        <v>67622.14</v>
      </c>
      <c r="AR147">
        <v>8797.1139999999996</v>
      </c>
      <c r="AS147">
        <v>3220.4180000000001</v>
      </c>
      <c r="AT147">
        <v>549.39380000000006</v>
      </c>
    </row>
    <row r="148" spans="2:133">
      <c r="B148" t="s">
        <v>82</v>
      </c>
      <c r="C148">
        <v>1</v>
      </c>
      <c r="D148" t="s">
        <v>472</v>
      </c>
      <c r="E148">
        <v>6</v>
      </c>
      <c r="F148" t="s">
        <v>641</v>
      </c>
      <c r="J148">
        <v>1</v>
      </c>
      <c r="K148" t="s">
        <v>478</v>
      </c>
      <c r="L148" t="s">
        <v>482</v>
      </c>
      <c r="Y148">
        <v>96</v>
      </c>
      <c r="Z148">
        <v>75</v>
      </c>
      <c r="AA148">
        <v>95.358000000000004</v>
      </c>
      <c r="AB148">
        <v>75</v>
      </c>
      <c r="AC148">
        <v>29</v>
      </c>
      <c r="AD148" t="s">
        <v>493</v>
      </c>
      <c r="AE148">
        <v>1</v>
      </c>
      <c r="AF148">
        <v>75</v>
      </c>
      <c r="AG148">
        <v>51</v>
      </c>
      <c r="AH148">
        <v>62.78199</v>
      </c>
      <c r="AI148">
        <v>75</v>
      </c>
      <c r="AJ148">
        <v>3622</v>
      </c>
      <c r="AK148">
        <v>61574</v>
      </c>
      <c r="AL148">
        <v>70982.06</v>
      </c>
      <c r="AM148">
        <v>11970</v>
      </c>
      <c r="AN148">
        <v>82952.06</v>
      </c>
      <c r="AO148">
        <v>0</v>
      </c>
      <c r="AP148">
        <v>6.9126719999999997</v>
      </c>
      <c r="AQ148">
        <v>0</v>
      </c>
      <c r="AR148">
        <v>8797.1139999999996</v>
      </c>
      <c r="AS148">
        <v>3220.7190000000001</v>
      </c>
      <c r="AT148">
        <v>549.39380000000006</v>
      </c>
      <c r="AU148" t="s">
        <v>476</v>
      </c>
      <c r="AV148">
        <v>0</v>
      </c>
      <c r="AW148">
        <v>0</v>
      </c>
      <c r="AX148">
        <v>0</v>
      </c>
      <c r="BA148">
        <v>0</v>
      </c>
      <c r="BB148">
        <v>0</v>
      </c>
      <c r="BC148">
        <v>70982.06</v>
      </c>
      <c r="BD148">
        <v>0</v>
      </c>
      <c r="BE148">
        <v>3622</v>
      </c>
      <c r="BF148">
        <v>7185.5770000000002</v>
      </c>
      <c r="BG148">
        <v>8797.1139999999996</v>
      </c>
      <c r="BH148">
        <v>0</v>
      </c>
      <c r="BI148">
        <v>0</v>
      </c>
      <c r="BJ148">
        <v>0</v>
      </c>
      <c r="BK148">
        <v>0</v>
      </c>
      <c r="BL148">
        <v>0</v>
      </c>
      <c r="BM148">
        <v>0</v>
      </c>
      <c r="BN148">
        <v>0</v>
      </c>
      <c r="BO148">
        <v>0</v>
      </c>
      <c r="BP148">
        <v>0</v>
      </c>
      <c r="BQ148">
        <v>0</v>
      </c>
      <c r="BR148">
        <v>0</v>
      </c>
      <c r="BS148">
        <v>4178</v>
      </c>
      <c r="BT148">
        <v>14970.51</v>
      </c>
      <c r="BU148">
        <v>5173</v>
      </c>
      <c r="BV148">
        <v>18533.560000000001</v>
      </c>
      <c r="BW148">
        <v>0</v>
      </c>
      <c r="BX148">
        <v>0</v>
      </c>
      <c r="BY148">
        <v>57</v>
      </c>
      <c r="BZ148">
        <v>14962.5</v>
      </c>
      <c r="CA148">
        <v>11970</v>
      </c>
      <c r="CB148">
        <v>48466.57</v>
      </c>
      <c r="CC148">
        <v>11970</v>
      </c>
      <c r="CD148">
        <v>0</v>
      </c>
      <c r="CE148">
        <v>0</v>
      </c>
      <c r="CF148">
        <v>0</v>
      </c>
      <c r="CG148">
        <v>0</v>
      </c>
      <c r="CH148">
        <v>0</v>
      </c>
      <c r="CI148">
        <v>0</v>
      </c>
      <c r="CJ148">
        <v>0</v>
      </c>
      <c r="CK148">
        <v>0</v>
      </c>
      <c r="CM148">
        <v>0</v>
      </c>
      <c r="CN148">
        <v>0</v>
      </c>
      <c r="CO148">
        <v>0</v>
      </c>
      <c r="CP148">
        <v>0</v>
      </c>
      <c r="CR148">
        <v>0</v>
      </c>
      <c r="CS148">
        <v>0</v>
      </c>
      <c r="CT148">
        <v>0</v>
      </c>
      <c r="CU148">
        <v>0</v>
      </c>
      <c r="CV148">
        <v>0</v>
      </c>
      <c r="CX148">
        <v>0</v>
      </c>
      <c r="CY148">
        <v>0</v>
      </c>
      <c r="CZ148">
        <v>0</v>
      </c>
      <c r="DB148">
        <v>0</v>
      </c>
      <c r="DC148">
        <v>0</v>
      </c>
      <c r="DD148">
        <v>448.6379</v>
      </c>
      <c r="DE148">
        <v>0</v>
      </c>
      <c r="DF148">
        <v>14881.29</v>
      </c>
      <c r="DG148">
        <v>0</v>
      </c>
      <c r="DH148">
        <v>0</v>
      </c>
      <c r="DI148">
        <v>0</v>
      </c>
      <c r="DJ148">
        <v>0</v>
      </c>
      <c r="DK148">
        <v>0</v>
      </c>
      <c r="DL148">
        <v>0</v>
      </c>
      <c r="DM148">
        <v>0</v>
      </c>
      <c r="DR148">
        <v>0</v>
      </c>
      <c r="DS148">
        <v>0</v>
      </c>
      <c r="DT148">
        <v>54.729799999999997</v>
      </c>
      <c r="DU148">
        <v>53.902889999999999</v>
      </c>
      <c r="DV148">
        <v>95</v>
      </c>
      <c r="DW148">
        <v>22.626619999999999</v>
      </c>
      <c r="DX148">
        <v>75</v>
      </c>
      <c r="DY148">
        <v>62.779539999999997</v>
      </c>
      <c r="DZ148">
        <v>50.99906</v>
      </c>
      <c r="EA148">
        <v>28.434750000000001</v>
      </c>
      <c r="EB148">
        <v>90</v>
      </c>
      <c r="EC148">
        <v>75</v>
      </c>
    </row>
    <row r="149" spans="2:133">
      <c r="B149" t="s">
        <v>483</v>
      </c>
      <c r="C149">
        <v>2</v>
      </c>
      <c r="D149" t="s">
        <v>473</v>
      </c>
      <c r="E149">
        <v>1</v>
      </c>
      <c r="F149" t="s">
        <v>475</v>
      </c>
      <c r="G149">
        <v>0</v>
      </c>
      <c r="H149" t="s">
        <v>484</v>
      </c>
      <c r="I149">
        <v>0</v>
      </c>
      <c r="J149">
        <v>1</v>
      </c>
      <c r="K149" t="s">
        <v>478</v>
      </c>
      <c r="L149" t="s">
        <v>482</v>
      </c>
      <c r="Y149">
        <v>96</v>
      </c>
      <c r="Z149">
        <v>75</v>
      </c>
      <c r="AA149">
        <v>95.358000000000004</v>
      </c>
      <c r="AB149">
        <v>75</v>
      </c>
      <c r="AC149">
        <v>29</v>
      </c>
      <c r="AF149">
        <v>75</v>
      </c>
      <c r="AG149">
        <v>52</v>
      </c>
      <c r="AH149">
        <v>63.062869999999997</v>
      </c>
      <c r="AI149">
        <v>75</v>
      </c>
      <c r="AJ149">
        <v>12078</v>
      </c>
      <c r="AK149">
        <v>205326</v>
      </c>
      <c r="AL149">
        <v>243199.2</v>
      </c>
      <c r="AM149">
        <v>61110</v>
      </c>
      <c r="AN149">
        <v>304309.2</v>
      </c>
      <c r="AR149">
        <v>80618.14</v>
      </c>
      <c r="AS149">
        <v>10702.84</v>
      </c>
      <c r="AT149">
        <v>5034.7309999999998</v>
      </c>
      <c r="AU149" t="s">
        <v>476</v>
      </c>
      <c r="AV149">
        <v>0</v>
      </c>
      <c r="AW149">
        <v>0</v>
      </c>
      <c r="AX149">
        <v>0</v>
      </c>
      <c r="AY149">
        <v>0</v>
      </c>
      <c r="AZ149">
        <v>0</v>
      </c>
      <c r="BA149">
        <v>0</v>
      </c>
      <c r="BB149">
        <v>0</v>
      </c>
      <c r="BE149">
        <v>12078</v>
      </c>
      <c r="BF149">
        <v>23961.18</v>
      </c>
      <c r="BG149">
        <v>29335.05</v>
      </c>
      <c r="BH149">
        <v>5261.59</v>
      </c>
      <c r="BI149">
        <v>14497.88</v>
      </c>
      <c r="BJ149">
        <v>40201.699999999997</v>
      </c>
      <c r="BK149">
        <v>438</v>
      </c>
      <c r="BL149">
        <v>9403.6820000000007</v>
      </c>
      <c r="BM149">
        <v>11081.4</v>
      </c>
      <c r="BN149">
        <v>0</v>
      </c>
      <c r="BO149">
        <v>0</v>
      </c>
      <c r="BP149">
        <v>0</v>
      </c>
      <c r="BQ149">
        <v>0</v>
      </c>
      <c r="BR149">
        <v>0</v>
      </c>
      <c r="BS149">
        <v>15348.8</v>
      </c>
      <c r="BT149">
        <v>54988.38</v>
      </c>
      <c r="BU149">
        <v>17852</v>
      </c>
      <c r="BV149">
        <v>63960.54</v>
      </c>
      <c r="BW149">
        <v>0</v>
      </c>
      <c r="BX149">
        <v>0</v>
      </c>
      <c r="BY149">
        <v>291</v>
      </c>
      <c r="BZ149">
        <v>76387.5</v>
      </c>
      <c r="CA149">
        <v>61110</v>
      </c>
      <c r="CB149">
        <v>195336.4</v>
      </c>
      <c r="CC149">
        <v>61110</v>
      </c>
      <c r="CD149">
        <v>0</v>
      </c>
      <c r="CE149">
        <v>0</v>
      </c>
      <c r="CF149">
        <v>0</v>
      </c>
      <c r="CM149">
        <v>0</v>
      </c>
      <c r="CN149">
        <v>0</v>
      </c>
      <c r="CR149">
        <v>0</v>
      </c>
      <c r="CS149">
        <v>0</v>
      </c>
      <c r="CU149">
        <v>0</v>
      </c>
      <c r="CV149">
        <v>0</v>
      </c>
      <c r="CW149" t="s">
        <v>477</v>
      </c>
      <c r="CX149">
        <v>0</v>
      </c>
      <c r="CY149">
        <v>0</v>
      </c>
      <c r="CZ149">
        <v>0</v>
      </c>
      <c r="DA149" t="s">
        <v>477</v>
      </c>
      <c r="DB149">
        <v>0</v>
      </c>
      <c r="DC149">
        <v>0</v>
      </c>
      <c r="DN149">
        <v>0</v>
      </c>
      <c r="DO149">
        <v>0</v>
      </c>
    </row>
    <row r="150" spans="2:133">
      <c r="B150" t="s">
        <v>485</v>
      </c>
      <c r="C150">
        <v>6</v>
      </c>
      <c r="D150" t="s">
        <v>473</v>
      </c>
      <c r="E150">
        <v>1</v>
      </c>
      <c r="F150" t="s">
        <v>475</v>
      </c>
      <c r="J150">
        <v>1</v>
      </c>
      <c r="AJ150">
        <v>12078</v>
      </c>
      <c r="AK150">
        <v>205326</v>
      </c>
      <c r="AL150">
        <v>243199.2</v>
      </c>
      <c r="AM150">
        <v>61110</v>
      </c>
      <c r="AN150">
        <v>304309.2</v>
      </c>
      <c r="AR150">
        <v>80618.14</v>
      </c>
      <c r="AS150">
        <v>10702.84</v>
      </c>
      <c r="AT150">
        <v>5034.7309999999998</v>
      </c>
    </row>
    <row r="151" spans="2:133">
      <c r="B151" t="s">
        <v>82</v>
      </c>
      <c r="C151">
        <v>1</v>
      </c>
      <c r="D151" t="s">
        <v>473</v>
      </c>
      <c r="E151">
        <v>1</v>
      </c>
      <c r="F151" t="s">
        <v>475</v>
      </c>
      <c r="J151">
        <v>1</v>
      </c>
      <c r="K151" t="s">
        <v>478</v>
      </c>
      <c r="L151" t="s">
        <v>482</v>
      </c>
      <c r="Y151">
        <v>96</v>
      </c>
      <c r="Z151">
        <v>75</v>
      </c>
      <c r="AA151">
        <v>95.358000000000004</v>
      </c>
      <c r="AB151">
        <v>75</v>
      </c>
      <c r="AC151">
        <v>29</v>
      </c>
      <c r="AD151" t="s">
        <v>637</v>
      </c>
      <c r="AE151">
        <v>2</v>
      </c>
      <c r="AF151">
        <v>75</v>
      </c>
      <c r="AG151">
        <v>52</v>
      </c>
      <c r="AH151">
        <v>63.062869999999997</v>
      </c>
      <c r="AI151">
        <v>75</v>
      </c>
      <c r="AJ151">
        <v>12078</v>
      </c>
      <c r="AK151">
        <v>205326</v>
      </c>
      <c r="AL151">
        <v>244690</v>
      </c>
      <c r="AM151">
        <v>61110</v>
      </c>
      <c r="AN151">
        <v>305800</v>
      </c>
      <c r="AO151">
        <v>0</v>
      </c>
      <c r="AP151">
        <v>25.483339999999998</v>
      </c>
      <c r="AQ151">
        <v>0</v>
      </c>
      <c r="AR151">
        <v>80618.14</v>
      </c>
      <c r="AS151">
        <v>10702.82</v>
      </c>
      <c r="AT151">
        <v>5034.7309999999998</v>
      </c>
      <c r="AU151" t="s">
        <v>476</v>
      </c>
      <c r="AV151">
        <v>0</v>
      </c>
      <c r="AW151">
        <v>0</v>
      </c>
      <c r="AX151">
        <v>0</v>
      </c>
      <c r="BA151">
        <v>0</v>
      </c>
      <c r="BB151">
        <v>0</v>
      </c>
      <c r="BC151">
        <v>244690</v>
      </c>
      <c r="BD151">
        <v>0</v>
      </c>
      <c r="BE151">
        <v>12078</v>
      </c>
      <c r="BF151">
        <v>23961.18</v>
      </c>
      <c r="BG151">
        <v>29335.05</v>
      </c>
      <c r="BH151">
        <v>5261.59</v>
      </c>
      <c r="BI151">
        <v>14497.88</v>
      </c>
      <c r="BJ151">
        <v>40201.699999999997</v>
      </c>
      <c r="BK151">
        <v>438</v>
      </c>
      <c r="BL151">
        <v>9403.6820000000007</v>
      </c>
      <c r="BM151">
        <v>11081.4</v>
      </c>
      <c r="BN151">
        <v>0</v>
      </c>
      <c r="BO151">
        <v>0</v>
      </c>
      <c r="BP151">
        <v>0</v>
      </c>
      <c r="BQ151">
        <v>0</v>
      </c>
      <c r="BR151">
        <v>0</v>
      </c>
      <c r="BS151">
        <v>15348.8</v>
      </c>
      <c r="BT151">
        <v>54988.38</v>
      </c>
      <c r="BU151">
        <v>17852</v>
      </c>
      <c r="BV151">
        <v>63960.54</v>
      </c>
      <c r="BW151">
        <v>0</v>
      </c>
      <c r="BX151">
        <v>0</v>
      </c>
      <c r="BY151">
        <v>291</v>
      </c>
      <c r="BZ151">
        <v>76387.5</v>
      </c>
      <c r="CA151">
        <v>61110</v>
      </c>
      <c r="CB151">
        <v>195336.4</v>
      </c>
      <c r="CC151">
        <v>61110</v>
      </c>
      <c r="CD151">
        <v>0</v>
      </c>
      <c r="CE151">
        <v>0</v>
      </c>
      <c r="CF151">
        <v>0</v>
      </c>
      <c r="CG151">
        <v>0</v>
      </c>
      <c r="CH151">
        <v>0</v>
      </c>
      <c r="CI151">
        <v>0</v>
      </c>
      <c r="CJ151">
        <v>0</v>
      </c>
      <c r="CK151">
        <v>0</v>
      </c>
      <c r="CM151">
        <v>0</v>
      </c>
      <c r="CN151">
        <v>0</v>
      </c>
      <c r="CO151">
        <v>0</v>
      </c>
      <c r="CP151">
        <v>0</v>
      </c>
      <c r="CR151">
        <v>0</v>
      </c>
      <c r="CS151">
        <v>0</v>
      </c>
      <c r="CT151">
        <v>0</v>
      </c>
      <c r="CU151">
        <v>0</v>
      </c>
      <c r="CV151">
        <v>0</v>
      </c>
      <c r="CX151">
        <v>0</v>
      </c>
      <c r="CY151">
        <v>0</v>
      </c>
      <c r="CZ151">
        <v>0</v>
      </c>
      <c r="DB151">
        <v>0</v>
      </c>
      <c r="DC151">
        <v>0</v>
      </c>
      <c r="DD151">
        <v>1490.876</v>
      </c>
      <c r="DE151">
        <v>0</v>
      </c>
      <c r="DF151">
        <v>0</v>
      </c>
      <c r="DG151">
        <v>0</v>
      </c>
      <c r="DH151">
        <v>0</v>
      </c>
      <c r="DI151">
        <v>0</v>
      </c>
      <c r="DJ151">
        <v>0</v>
      </c>
      <c r="DK151">
        <v>0</v>
      </c>
      <c r="DL151">
        <v>0</v>
      </c>
      <c r="DM151">
        <v>0</v>
      </c>
      <c r="DR151">
        <v>0</v>
      </c>
      <c r="DS151">
        <v>0</v>
      </c>
      <c r="DT151">
        <v>53.972720000000002</v>
      </c>
      <c r="DU151">
        <v>53.161009999999997</v>
      </c>
      <c r="DV151">
        <v>95</v>
      </c>
      <c r="DW151">
        <v>22.179739999999999</v>
      </c>
      <c r="DX151">
        <v>75</v>
      </c>
      <c r="DY151">
        <v>63.049320000000002</v>
      </c>
      <c r="DZ151">
        <v>51.952930000000002</v>
      </c>
      <c r="EA151">
        <v>28.63392</v>
      </c>
      <c r="EB151">
        <v>90</v>
      </c>
      <c r="EC151">
        <v>75</v>
      </c>
    </row>
    <row r="152" spans="2:133">
      <c r="B152" t="s">
        <v>483</v>
      </c>
      <c r="C152">
        <v>2</v>
      </c>
      <c r="D152" t="s">
        <v>473</v>
      </c>
      <c r="E152">
        <v>2</v>
      </c>
      <c r="F152" t="s">
        <v>481</v>
      </c>
      <c r="G152">
        <v>0</v>
      </c>
      <c r="H152" t="s">
        <v>484</v>
      </c>
      <c r="I152">
        <v>0</v>
      </c>
      <c r="J152">
        <v>1</v>
      </c>
      <c r="K152" t="s">
        <v>478</v>
      </c>
      <c r="L152" t="s">
        <v>482</v>
      </c>
      <c r="Y152">
        <v>96</v>
      </c>
      <c r="Z152">
        <v>75</v>
      </c>
      <c r="AA152">
        <v>95.358000000000004</v>
      </c>
      <c r="AB152">
        <v>75</v>
      </c>
      <c r="AC152">
        <v>29</v>
      </c>
      <c r="AF152">
        <v>75</v>
      </c>
      <c r="AG152">
        <v>52</v>
      </c>
      <c r="AH152">
        <v>63.062869999999997</v>
      </c>
      <c r="AI152">
        <v>75</v>
      </c>
      <c r="AJ152">
        <v>10938</v>
      </c>
      <c r="AK152">
        <v>185946</v>
      </c>
      <c r="AL152">
        <v>243467</v>
      </c>
      <c r="AM152">
        <v>58380</v>
      </c>
      <c r="AN152">
        <v>301847</v>
      </c>
      <c r="AR152">
        <v>95128.86</v>
      </c>
      <c r="AS152">
        <v>10825.41</v>
      </c>
      <c r="AT152">
        <v>5940.9489999999996</v>
      </c>
      <c r="AU152" t="s">
        <v>476</v>
      </c>
      <c r="AV152">
        <v>0</v>
      </c>
      <c r="AW152">
        <v>0</v>
      </c>
      <c r="AX152">
        <v>0</v>
      </c>
      <c r="AY152">
        <v>0</v>
      </c>
      <c r="AZ152">
        <v>0</v>
      </c>
      <c r="BA152">
        <v>0</v>
      </c>
      <c r="BB152">
        <v>0</v>
      </c>
      <c r="BE152">
        <v>10938</v>
      </c>
      <c r="BF152">
        <v>21699.57</v>
      </c>
      <c r="BG152">
        <v>26566.22</v>
      </c>
      <c r="BH152">
        <v>6872.8</v>
      </c>
      <c r="BI152">
        <v>23381.24</v>
      </c>
      <c r="BJ152">
        <v>52512.32</v>
      </c>
      <c r="BK152">
        <v>634.4</v>
      </c>
      <c r="BL152">
        <v>20828.939999999999</v>
      </c>
      <c r="BM152">
        <v>16050.32</v>
      </c>
      <c r="BN152">
        <v>0</v>
      </c>
      <c r="BO152">
        <v>0</v>
      </c>
      <c r="BP152">
        <v>0</v>
      </c>
      <c r="BQ152">
        <v>0</v>
      </c>
      <c r="BR152">
        <v>0</v>
      </c>
      <c r="BS152">
        <v>13706</v>
      </c>
      <c r="BT152">
        <v>49103.35</v>
      </c>
      <c r="BU152">
        <v>15485</v>
      </c>
      <c r="BV152">
        <v>55478.85</v>
      </c>
      <c r="BW152">
        <v>0</v>
      </c>
      <c r="BX152">
        <v>0</v>
      </c>
      <c r="BY152">
        <v>278</v>
      </c>
      <c r="BZ152">
        <v>72975</v>
      </c>
      <c r="CA152">
        <v>58380</v>
      </c>
      <c r="CB152">
        <v>177557.2</v>
      </c>
      <c r="CC152">
        <v>58380</v>
      </c>
      <c r="CD152">
        <v>0</v>
      </c>
      <c r="CE152">
        <v>0</v>
      </c>
      <c r="CF152">
        <v>0</v>
      </c>
      <c r="CM152">
        <v>0</v>
      </c>
      <c r="CN152">
        <v>0</v>
      </c>
      <c r="CR152">
        <v>0</v>
      </c>
      <c r="CS152">
        <v>0</v>
      </c>
      <c r="CU152">
        <v>0</v>
      </c>
      <c r="CV152">
        <v>0</v>
      </c>
      <c r="CW152" t="s">
        <v>477</v>
      </c>
      <c r="CX152">
        <v>0</v>
      </c>
      <c r="CY152">
        <v>0</v>
      </c>
      <c r="CZ152">
        <v>0</v>
      </c>
      <c r="DA152" t="s">
        <v>477</v>
      </c>
      <c r="DB152">
        <v>0</v>
      </c>
      <c r="DC152">
        <v>0</v>
      </c>
      <c r="DN152">
        <v>0</v>
      </c>
      <c r="DO152">
        <v>0</v>
      </c>
    </row>
    <row r="153" spans="2:133">
      <c r="B153" t="s">
        <v>485</v>
      </c>
      <c r="C153">
        <v>6</v>
      </c>
      <c r="D153" t="s">
        <v>473</v>
      </c>
      <c r="E153">
        <v>2</v>
      </c>
      <c r="F153" t="s">
        <v>481</v>
      </c>
      <c r="J153">
        <v>2</v>
      </c>
      <c r="AJ153">
        <v>10938</v>
      </c>
      <c r="AK153">
        <v>185946</v>
      </c>
      <c r="AL153">
        <v>243467</v>
      </c>
      <c r="AM153">
        <v>58380</v>
      </c>
      <c r="AN153">
        <v>301847</v>
      </c>
      <c r="AR153">
        <v>95128.86</v>
      </c>
      <c r="AS153">
        <v>10825.41</v>
      </c>
      <c r="AT153">
        <v>5940.9489999999996</v>
      </c>
    </row>
    <row r="154" spans="2:133">
      <c r="B154" t="s">
        <v>82</v>
      </c>
      <c r="C154">
        <v>1</v>
      </c>
      <c r="D154" t="s">
        <v>473</v>
      </c>
      <c r="E154">
        <v>2</v>
      </c>
      <c r="F154" t="s">
        <v>481</v>
      </c>
      <c r="J154">
        <v>2</v>
      </c>
      <c r="K154" t="s">
        <v>478</v>
      </c>
      <c r="L154" t="s">
        <v>482</v>
      </c>
      <c r="Y154">
        <v>96</v>
      </c>
      <c r="Z154">
        <v>75</v>
      </c>
      <c r="AA154">
        <v>95.358000000000004</v>
      </c>
      <c r="AB154">
        <v>75</v>
      </c>
      <c r="AC154">
        <v>29</v>
      </c>
      <c r="AD154" t="s">
        <v>637</v>
      </c>
      <c r="AE154">
        <v>2</v>
      </c>
      <c r="AF154">
        <v>75</v>
      </c>
      <c r="AG154">
        <v>52</v>
      </c>
      <c r="AH154">
        <v>63.062869999999997</v>
      </c>
      <c r="AI154">
        <v>75</v>
      </c>
      <c r="AJ154">
        <v>10938</v>
      </c>
      <c r="AK154">
        <v>185946</v>
      </c>
      <c r="AL154">
        <v>244974.9</v>
      </c>
      <c r="AM154">
        <v>58380</v>
      </c>
      <c r="AN154">
        <v>303354.90000000002</v>
      </c>
      <c r="AO154">
        <v>0</v>
      </c>
      <c r="AP154">
        <v>25.279579999999999</v>
      </c>
      <c r="AQ154">
        <v>0</v>
      </c>
      <c r="AR154">
        <v>95128.86</v>
      </c>
      <c r="AS154">
        <v>10825.4</v>
      </c>
      <c r="AT154">
        <v>5940.9489999999996</v>
      </c>
      <c r="AU154" t="s">
        <v>476</v>
      </c>
      <c r="AV154">
        <v>0</v>
      </c>
      <c r="AW154">
        <v>0</v>
      </c>
      <c r="AX154">
        <v>0</v>
      </c>
      <c r="BA154">
        <v>0</v>
      </c>
      <c r="BB154">
        <v>0</v>
      </c>
      <c r="BC154">
        <v>244974.9</v>
      </c>
      <c r="BD154">
        <v>0</v>
      </c>
      <c r="BE154">
        <v>10938</v>
      </c>
      <c r="BF154">
        <v>21699.57</v>
      </c>
      <c r="BG154">
        <v>26566.22</v>
      </c>
      <c r="BH154">
        <v>6872.8</v>
      </c>
      <c r="BI154">
        <v>23381.24</v>
      </c>
      <c r="BJ154">
        <v>52512.32</v>
      </c>
      <c r="BK154">
        <v>634.4</v>
      </c>
      <c r="BL154">
        <v>20828.939999999999</v>
      </c>
      <c r="BM154">
        <v>16050.32</v>
      </c>
      <c r="BN154">
        <v>0</v>
      </c>
      <c r="BO154">
        <v>0</v>
      </c>
      <c r="BP154">
        <v>0</v>
      </c>
      <c r="BQ154">
        <v>0</v>
      </c>
      <c r="BR154">
        <v>0</v>
      </c>
      <c r="BS154">
        <v>13706</v>
      </c>
      <c r="BT154">
        <v>49103.35</v>
      </c>
      <c r="BU154">
        <v>15485</v>
      </c>
      <c r="BV154">
        <v>55478.85</v>
      </c>
      <c r="BW154">
        <v>0</v>
      </c>
      <c r="BX154">
        <v>0</v>
      </c>
      <c r="BY154">
        <v>278</v>
      </c>
      <c r="BZ154">
        <v>72975</v>
      </c>
      <c r="CA154">
        <v>58380</v>
      </c>
      <c r="CB154">
        <v>177557.2</v>
      </c>
      <c r="CC154">
        <v>58380</v>
      </c>
      <c r="CD154">
        <v>0</v>
      </c>
      <c r="CE154">
        <v>0</v>
      </c>
      <c r="CF154">
        <v>0</v>
      </c>
      <c r="CG154">
        <v>0</v>
      </c>
      <c r="CH154">
        <v>0</v>
      </c>
      <c r="CI154">
        <v>0</v>
      </c>
      <c r="CJ154">
        <v>0</v>
      </c>
      <c r="CK154">
        <v>0</v>
      </c>
      <c r="CM154">
        <v>0</v>
      </c>
      <c r="CN154">
        <v>0</v>
      </c>
      <c r="CO154">
        <v>0</v>
      </c>
      <c r="CP154">
        <v>0</v>
      </c>
      <c r="CR154">
        <v>0</v>
      </c>
      <c r="CS154">
        <v>0</v>
      </c>
      <c r="CT154">
        <v>0</v>
      </c>
      <c r="CU154">
        <v>0</v>
      </c>
      <c r="CV154">
        <v>0</v>
      </c>
      <c r="CX154">
        <v>0</v>
      </c>
      <c r="CY154">
        <v>0</v>
      </c>
      <c r="CZ154">
        <v>0</v>
      </c>
      <c r="DB154">
        <v>0</v>
      </c>
      <c r="DC154">
        <v>0</v>
      </c>
      <c r="DD154">
        <v>1507.95</v>
      </c>
      <c r="DE154">
        <v>0</v>
      </c>
      <c r="DF154">
        <v>0</v>
      </c>
      <c r="DG154">
        <v>0</v>
      </c>
      <c r="DH154">
        <v>0</v>
      </c>
      <c r="DI154">
        <v>0</v>
      </c>
      <c r="DJ154">
        <v>0</v>
      </c>
      <c r="DK154">
        <v>0</v>
      </c>
      <c r="DL154">
        <v>0</v>
      </c>
      <c r="DM154">
        <v>0</v>
      </c>
      <c r="DR154">
        <v>0</v>
      </c>
      <c r="DS154">
        <v>0</v>
      </c>
      <c r="DT154">
        <v>54.186599999999999</v>
      </c>
      <c r="DU154">
        <v>53.36853</v>
      </c>
      <c r="DV154">
        <v>95</v>
      </c>
      <c r="DW154">
        <v>22.305319999999998</v>
      </c>
      <c r="DX154">
        <v>75</v>
      </c>
      <c r="DY154">
        <v>63.049320000000002</v>
      </c>
      <c r="DZ154">
        <v>51.952930000000002</v>
      </c>
      <c r="EA154">
        <v>28.63428</v>
      </c>
      <c r="EB154">
        <v>90</v>
      </c>
      <c r="EC154">
        <v>75</v>
      </c>
    </row>
    <row r="155" spans="2:133">
      <c r="B155" t="s">
        <v>483</v>
      </c>
      <c r="C155">
        <v>2</v>
      </c>
      <c r="D155" t="s">
        <v>473</v>
      </c>
      <c r="E155">
        <v>3</v>
      </c>
      <c r="F155" t="s">
        <v>638</v>
      </c>
      <c r="G155">
        <v>0</v>
      </c>
      <c r="H155" t="s">
        <v>484</v>
      </c>
      <c r="I155">
        <v>0</v>
      </c>
      <c r="J155">
        <v>1</v>
      </c>
      <c r="K155" t="s">
        <v>478</v>
      </c>
      <c r="L155" t="s">
        <v>479</v>
      </c>
      <c r="Y155">
        <v>96</v>
      </c>
      <c r="Z155">
        <v>75</v>
      </c>
      <c r="AA155">
        <v>93.86</v>
      </c>
      <c r="AB155">
        <v>75</v>
      </c>
      <c r="AC155">
        <v>29</v>
      </c>
      <c r="AF155">
        <v>75</v>
      </c>
      <c r="AG155">
        <v>52</v>
      </c>
      <c r="AH155">
        <v>63.062869999999997</v>
      </c>
      <c r="AI155">
        <v>75</v>
      </c>
      <c r="AJ155">
        <v>10135</v>
      </c>
      <c r="AK155">
        <v>172295</v>
      </c>
      <c r="AL155">
        <v>216647.3</v>
      </c>
      <c r="AM155">
        <v>54180</v>
      </c>
      <c r="AN155">
        <v>270827.3</v>
      </c>
      <c r="AR155">
        <v>78564.22</v>
      </c>
      <c r="AS155">
        <v>9544.59</v>
      </c>
      <c r="AT155">
        <v>4906.46</v>
      </c>
      <c r="AU155" t="s">
        <v>476</v>
      </c>
      <c r="AV155">
        <v>0</v>
      </c>
      <c r="AW155">
        <v>0</v>
      </c>
      <c r="AX155">
        <v>0</v>
      </c>
      <c r="AY155">
        <v>0</v>
      </c>
      <c r="AZ155">
        <v>0</v>
      </c>
      <c r="BA155">
        <v>0</v>
      </c>
      <c r="BB155">
        <v>0</v>
      </c>
      <c r="BE155">
        <v>10135</v>
      </c>
      <c r="BF155">
        <v>19595.72</v>
      </c>
      <c r="BG155">
        <v>24615.89</v>
      </c>
      <c r="BH155">
        <v>5447.5</v>
      </c>
      <c r="BI155">
        <v>16985.43</v>
      </c>
      <c r="BJ155">
        <v>41622.160000000003</v>
      </c>
      <c r="BK155">
        <v>487.2</v>
      </c>
      <c r="BL155">
        <v>15648.18</v>
      </c>
      <c r="BM155">
        <v>12326.16</v>
      </c>
      <c r="BN155">
        <v>0</v>
      </c>
      <c r="BO155">
        <v>0</v>
      </c>
      <c r="BP155">
        <v>0</v>
      </c>
      <c r="BQ155">
        <v>0</v>
      </c>
      <c r="BR155">
        <v>0</v>
      </c>
      <c r="BS155">
        <v>12878</v>
      </c>
      <c r="BT155">
        <v>46133.25</v>
      </c>
      <c r="BU155">
        <v>14112</v>
      </c>
      <c r="BV155">
        <v>50559.73</v>
      </c>
      <c r="BW155">
        <v>0</v>
      </c>
      <c r="BX155">
        <v>0</v>
      </c>
      <c r="BY155">
        <v>258</v>
      </c>
      <c r="BZ155">
        <v>67725</v>
      </c>
      <c r="CA155">
        <v>54180</v>
      </c>
      <c r="CB155">
        <v>164418</v>
      </c>
      <c r="CC155">
        <v>54180</v>
      </c>
      <c r="CD155">
        <v>0</v>
      </c>
      <c r="CE155">
        <v>0</v>
      </c>
      <c r="CF155">
        <v>0</v>
      </c>
      <c r="CM155">
        <v>0</v>
      </c>
      <c r="CN155">
        <v>0</v>
      </c>
      <c r="CR155">
        <v>0</v>
      </c>
      <c r="CS155">
        <v>0</v>
      </c>
      <c r="CU155">
        <v>0</v>
      </c>
      <c r="CV155">
        <v>0</v>
      </c>
      <c r="CW155" t="s">
        <v>477</v>
      </c>
      <c r="CX155">
        <v>0</v>
      </c>
      <c r="CY155">
        <v>0</v>
      </c>
      <c r="CZ155">
        <v>0</v>
      </c>
      <c r="DA155" t="s">
        <v>477</v>
      </c>
      <c r="DB155">
        <v>0</v>
      </c>
      <c r="DC155">
        <v>0</v>
      </c>
      <c r="DN155">
        <v>0</v>
      </c>
      <c r="DO155">
        <v>0</v>
      </c>
    </row>
    <row r="156" spans="2:133">
      <c r="B156" t="s">
        <v>485</v>
      </c>
      <c r="C156">
        <v>6</v>
      </c>
      <c r="D156" t="s">
        <v>473</v>
      </c>
      <c r="E156">
        <v>3</v>
      </c>
      <c r="F156" t="s">
        <v>638</v>
      </c>
      <c r="J156">
        <v>3</v>
      </c>
      <c r="AJ156">
        <v>10135</v>
      </c>
      <c r="AK156">
        <v>172295</v>
      </c>
      <c r="AL156">
        <v>216647.3</v>
      </c>
      <c r="AM156">
        <v>54180</v>
      </c>
      <c r="AN156">
        <v>270827.3</v>
      </c>
      <c r="AR156">
        <v>78564.22</v>
      </c>
      <c r="AS156">
        <v>9544.59</v>
      </c>
      <c r="AT156">
        <v>4906.46</v>
      </c>
    </row>
    <row r="157" spans="2:133">
      <c r="B157" t="s">
        <v>82</v>
      </c>
      <c r="C157">
        <v>1</v>
      </c>
      <c r="D157" t="s">
        <v>473</v>
      </c>
      <c r="E157">
        <v>3</v>
      </c>
      <c r="F157" t="s">
        <v>638</v>
      </c>
      <c r="J157">
        <v>3</v>
      </c>
      <c r="K157" t="s">
        <v>478</v>
      </c>
      <c r="L157" t="s">
        <v>479</v>
      </c>
      <c r="Y157">
        <v>96</v>
      </c>
      <c r="Z157">
        <v>75</v>
      </c>
      <c r="AA157">
        <v>93.86</v>
      </c>
      <c r="AB157">
        <v>75</v>
      </c>
      <c r="AC157">
        <v>29</v>
      </c>
      <c r="AD157" t="s">
        <v>637</v>
      </c>
      <c r="AE157">
        <v>2</v>
      </c>
      <c r="AF157">
        <v>75</v>
      </c>
      <c r="AG157">
        <v>52</v>
      </c>
      <c r="AH157">
        <v>63.062869999999997</v>
      </c>
      <c r="AI157">
        <v>75</v>
      </c>
      <c r="AJ157">
        <v>10135</v>
      </c>
      <c r="AK157">
        <v>172295</v>
      </c>
      <c r="AL157">
        <v>217976.8</v>
      </c>
      <c r="AM157">
        <v>54180</v>
      </c>
      <c r="AN157">
        <v>272156.79999999999</v>
      </c>
      <c r="AO157">
        <v>0</v>
      </c>
      <c r="AP157">
        <v>22.679739999999999</v>
      </c>
      <c r="AQ157">
        <v>0</v>
      </c>
      <c r="AR157">
        <v>78564.22</v>
      </c>
      <c r="AS157">
        <v>9544.5750000000007</v>
      </c>
      <c r="AT157">
        <v>4906.46</v>
      </c>
      <c r="AU157" t="s">
        <v>476</v>
      </c>
      <c r="AV157">
        <v>0</v>
      </c>
      <c r="AW157">
        <v>0</v>
      </c>
      <c r="AX157">
        <v>0</v>
      </c>
      <c r="BA157">
        <v>0</v>
      </c>
      <c r="BB157">
        <v>0</v>
      </c>
      <c r="BC157">
        <v>217976.8</v>
      </c>
      <c r="BD157">
        <v>0</v>
      </c>
      <c r="BE157">
        <v>10135</v>
      </c>
      <c r="BF157">
        <v>19595.72</v>
      </c>
      <c r="BG157">
        <v>24615.89</v>
      </c>
      <c r="BH157">
        <v>5447.5</v>
      </c>
      <c r="BI157">
        <v>16985.43</v>
      </c>
      <c r="BJ157">
        <v>41622.160000000003</v>
      </c>
      <c r="BK157">
        <v>487.2</v>
      </c>
      <c r="BL157">
        <v>15648.18</v>
      </c>
      <c r="BM157">
        <v>12326.16</v>
      </c>
      <c r="BN157">
        <v>0</v>
      </c>
      <c r="BO157">
        <v>0</v>
      </c>
      <c r="BP157">
        <v>0</v>
      </c>
      <c r="BQ157">
        <v>0</v>
      </c>
      <c r="BR157">
        <v>0</v>
      </c>
      <c r="BS157">
        <v>12878</v>
      </c>
      <c r="BT157">
        <v>46133.25</v>
      </c>
      <c r="BU157">
        <v>14112</v>
      </c>
      <c r="BV157">
        <v>50559.73</v>
      </c>
      <c r="BW157">
        <v>0</v>
      </c>
      <c r="BX157">
        <v>0</v>
      </c>
      <c r="BY157">
        <v>258</v>
      </c>
      <c r="BZ157">
        <v>67725</v>
      </c>
      <c r="CA157">
        <v>54180</v>
      </c>
      <c r="CB157">
        <v>164418</v>
      </c>
      <c r="CC157">
        <v>54180</v>
      </c>
      <c r="CD157">
        <v>0</v>
      </c>
      <c r="CE157">
        <v>0</v>
      </c>
      <c r="CF157">
        <v>0</v>
      </c>
      <c r="CG157">
        <v>0</v>
      </c>
      <c r="CH157">
        <v>0</v>
      </c>
      <c r="CI157">
        <v>0</v>
      </c>
      <c r="CJ157">
        <v>0</v>
      </c>
      <c r="CK157">
        <v>0</v>
      </c>
      <c r="CM157">
        <v>0</v>
      </c>
      <c r="CN157">
        <v>0</v>
      </c>
      <c r="CO157">
        <v>0</v>
      </c>
      <c r="CP157">
        <v>0</v>
      </c>
      <c r="CR157">
        <v>0</v>
      </c>
      <c r="CS157">
        <v>0</v>
      </c>
      <c r="CT157">
        <v>0</v>
      </c>
      <c r="CU157">
        <v>0</v>
      </c>
      <c r="CV157">
        <v>0</v>
      </c>
      <c r="CX157">
        <v>0</v>
      </c>
      <c r="CY157">
        <v>0</v>
      </c>
      <c r="CZ157">
        <v>0</v>
      </c>
      <c r="DB157">
        <v>0</v>
      </c>
      <c r="DC157">
        <v>0</v>
      </c>
      <c r="DD157">
        <v>1329.5350000000001</v>
      </c>
      <c r="DE157">
        <v>0</v>
      </c>
      <c r="DF157">
        <v>0</v>
      </c>
      <c r="DG157">
        <v>0</v>
      </c>
      <c r="DH157">
        <v>0</v>
      </c>
      <c r="DI157">
        <v>0</v>
      </c>
      <c r="DJ157">
        <v>0</v>
      </c>
      <c r="DK157">
        <v>0</v>
      </c>
      <c r="DL157">
        <v>0</v>
      </c>
      <c r="DM157">
        <v>0</v>
      </c>
      <c r="DR157">
        <v>0</v>
      </c>
      <c r="DS157">
        <v>0</v>
      </c>
      <c r="DT157">
        <v>53.995179999999998</v>
      </c>
      <c r="DU157">
        <v>53.181759999999997</v>
      </c>
      <c r="DV157">
        <v>95</v>
      </c>
      <c r="DW157">
        <v>22.192910000000001</v>
      </c>
      <c r="DX157">
        <v>75</v>
      </c>
      <c r="DY157">
        <v>63.049320000000002</v>
      </c>
      <c r="DZ157">
        <v>51.952930000000002</v>
      </c>
      <c r="EA157">
        <v>28.633959999999998</v>
      </c>
      <c r="EB157">
        <v>90</v>
      </c>
      <c r="EC157">
        <v>75</v>
      </c>
    </row>
    <row r="158" spans="2:133">
      <c r="B158" t="s">
        <v>483</v>
      </c>
      <c r="C158">
        <v>2</v>
      </c>
      <c r="D158" t="s">
        <v>473</v>
      </c>
      <c r="E158">
        <v>4</v>
      </c>
      <c r="F158" t="s">
        <v>639</v>
      </c>
      <c r="G158">
        <v>0</v>
      </c>
      <c r="H158" t="s">
        <v>484</v>
      </c>
      <c r="I158">
        <v>0</v>
      </c>
      <c r="J158">
        <v>1</v>
      </c>
      <c r="K158" t="s">
        <v>478</v>
      </c>
      <c r="L158" t="s">
        <v>479</v>
      </c>
      <c r="Y158">
        <v>96</v>
      </c>
      <c r="Z158">
        <v>75</v>
      </c>
      <c r="AA158">
        <v>93.86</v>
      </c>
      <c r="AB158">
        <v>75</v>
      </c>
      <c r="AC158">
        <v>29</v>
      </c>
      <c r="AF158">
        <v>75</v>
      </c>
      <c r="AG158">
        <v>52</v>
      </c>
      <c r="AH158">
        <v>63.062869999999997</v>
      </c>
      <c r="AI158">
        <v>75</v>
      </c>
      <c r="AJ158">
        <v>10158</v>
      </c>
      <c r="AK158">
        <v>172686</v>
      </c>
      <c r="AL158">
        <v>227650.1</v>
      </c>
      <c r="AM158">
        <v>53970</v>
      </c>
      <c r="AN158">
        <v>281620.09999999998</v>
      </c>
      <c r="AR158">
        <v>70708.44</v>
      </c>
      <c r="AS158">
        <v>10146.48</v>
      </c>
      <c r="AT158">
        <v>4415.8540000000003</v>
      </c>
      <c r="AU158" t="s">
        <v>476</v>
      </c>
      <c r="AV158">
        <v>0</v>
      </c>
      <c r="AW158">
        <v>0</v>
      </c>
      <c r="AX158">
        <v>0</v>
      </c>
      <c r="AY158">
        <v>0</v>
      </c>
      <c r="AZ158">
        <v>0</v>
      </c>
      <c r="BA158">
        <v>0</v>
      </c>
      <c r="BB158">
        <v>0</v>
      </c>
      <c r="BE158">
        <v>10158</v>
      </c>
      <c r="BF158">
        <v>19640.189999999999</v>
      </c>
      <c r="BG158">
        <v>24671.75</v>
      </c>
      <c r="BH158">
        <v>4551.1000000000004</v>
      </c>
      <c r="BI158">
        <v>14373.11</v>
      </c>
      <c r="BJ158">
        <v>34773.129999999997</v>
      </c>
      <c r="BK158">
        <v>445.2</v>
      </c>
      <c r="BL158">
        <v>16220.88</v>
      </c>
      <c r="BM158">
        <v>11263.56</v>
      </c>
      <c r="BN158">
        <v>0</v>
      </c>
      <c r="BO158">
        <v>0</v>
      </c>
      <c r="BP158">
        <v>0</v>
      </c>
      <c r="BQ158">
        <v>0</v>
      </c>
      <c r="BR158">
        <v>0</v>
      </c>
      <c r="BS158">
        <v>12727.2</v>
      </c>
      <c r="BT158">
        <v>45592.98</v>
      </c>
      <c r="BU158">
        <v>17964</v>
      </c>
      <c r="BV158">
        <v>64360.480000000003</v>
      </c>
      <c r="BW158">
        <v>0</v>
      </c>
      <c r="BX158">
        <v>0</v>
      </c>
      <c r="BY158">
        <v>257</v>
      </c>
      <c r="BZ158">
        <v>67462.5</v>
      </c>
      <c r="CA158">
        <v>53970</v>
      </c>
      <c r="CB158">
        <v>177416</v>
      </c>
      <c r="CC158">
        <v>53970</v>
      </c>
      <c r="CD158">
        <v>0</v>
      </c>
      <c r="CE158">
        <v>0</v>
      </c>
      <c r="CF158">
        <v>0</v>
      </c>
      <c r="CM158">
        <v>0</v>
      </c>
      <c r="CN158">
        <v>0</v>
      </c>
      <c r="CR158">
        <v>0</v>
      </c>
      <c r="CS158">
        <v>0</v>
      </c>
      <c r="CU158">
        <v>0</v>
      </c>
      <c r="CV158">
        <v>0</v>
      </c>
      <c r="CW158" t="s">
        <v>477</v>
      </c>
      <c r="CX158">
        <v>0</v>
      </c>
      <c r="CY158">
        <v>0</v>
      </c>
      <c r="CZ158">
        <v>0</v>
      </c>
      <c r="DA158" t="s">
        <v>477</v>
      </c>
      <c r="DB158">
        <v>0</v>
      </c>
      <c r="DC158">
        <v>0</v>
      </c>
      <c r="DN158">
        <v>0</v>
      </c>
      <c r="DO158">
        <v>0</v>
      </c>
    </row>
    <row r="159" spans="2:133">
      <c r="B159" t="s">
        <v>485</v>
      </c>
      <c r="C159">
        <v>6</v>
      </c>
      <c r="D159" t="s">
        <v>473</v>
      </c>
      <c r="E159">
        <v>4</v>
      </c>
      <c r="F159" t="s">
        <v>639</v>
      </c>
      <c r="J159">
        <v>2</v>
      </c>
      <c r="AJ159">
        <v>10158</v>
      </c>
      <c r="AK159">
        <v>172686</v>
      </c>
      <c r="AL159">
        <v>227650.1</v>
      </c>
      <c r="AM159">
        <v>53970</v>
      </c>
      <c r="AN159">
        <v>281620.09999999998</v>
      </c>
      <c r="AR159">
        <v>70708.44</v>
      </c>
      <c r="AS159">
        <v>10146.48</v>
      </c>
      <c r="AT159">
        <v>4415.8540000000003</v>
      </c>
    </row>
    <row r="160" spans="2:133">
      <c r="B160" t="s">
        <v>82</v>
      </c>
      <c r="C160">
        <v>1</v>
      </c>
      <c r="D160" t="s">
        <v>473</v>
      </c>
      <c r="E160">
        <v>4</v>
      </c>
      <c r="F160" t="s">
        <v>639</v>
      </c>
      <c r="J160">
        <v>2</v>
      </c>
      <c r="K160" t="s">
        <v>478</v>
      </c>
      <c r="L160" t="s">
        <v>479</v>
      </c>
      <c r="Y160">
        <v>96</v>
      </c>
      <c r="Z160">
        <v>75</v>
      </c>
      <c r="AA160">
        <v>93.86</v>
      </c>
      <c r="AB160">
        <v>75</v>
      </c>
      <c r="AC160">
        <v>29</v>
      </c>
      <c r="AD160" t="s">
        <v>637</v>
      </c>
      <c r="AE160">
        <v>2</v>
      </c>
      <c r="AF160">
        <v>75</v>
      </c>
      <c r="AG160">
        <v>52</v>
      </c>
      <c r="AH160">
        <v>63.062869999999997</v>
      </c>
      <c r="AI160">
        <v>75</v>
      </c>
      <c r="AJ160">
        <v>10158</v>
      </c>
      <c r="AK160">
        <v>172686</v>
      </c>
      <c r="AL160">
        <v>229063.5</v>
      </c>
      <c r="AM160">
        <v>53970</v>
      </c>
      <c r="AN160">
        <v>283033.5</v>
      </c>
      <c r="AO160">
        <v>0</v>
      </c>
      <c r="AP160">
        <v>23.586120000000001</v>
      </c>
      <c r="AQ160">
        <v>0</v>
      </c>
      <c r="AR160">
        <v>70708.44</v>
      </c>
      <c r="AS160">
        <v>10146.469999999999</v>
      </c>
      <c r="AT160">
        <v>4415.8540000000003</v>
      </c>
      <c r="AU160" t="s">
        <v>476</v>
      </c>
      <c r="AV160">
        <v>0</v>
      </c>
      <c r="AW160">
        <v>0</v>
      </c>
      <c r="AX160">
        <v>0</v>
      </c>
      <c r="BA160">
        <v>0</v>
      </c>
      <c r="BB160">
        <v>0</v>
      </c>
      <c r="BC160">
        <v>229063.5</v>
      </c>
      <c r="BD160">
        <v>0</v>
      </c>
      <c r="BE160">
        <v>10158</v>
      </c>
      <c r="BF160">
        <v>19640.189999999999</v>
      </c>
      <c r="BG160">
        <v>24671.75</v>
      </c>
      <c r="BH160">
        <v>4551.1000000000004</v>
      </c>
      <c r="BI160">
        <v>14373.11</v>
      </c>
      <c r="BJ160">
        <v>34773.129999999997</v>
      </c>
      <c r="BK160">
        <v>445.2</v>
      </c>
      <c r="BL160">
        <v>16220.88</v>
      </c>
      <c r="BM160">
        <v>11263.56</v>
      </c>
      <c r="BN160">
        <v>0</v>
      </c>
      <c r="BO160">
        <v>0</v>
      </c>
      <c r="BP160">
        <v>0</v>
      </c>
      <c r="BQ160">
        <v>0</v>
      </c>
      <c r="BR160">
        <v>0</v>
      </c>
      <c r="BS160">
        <v>12727.2</v>
      </c>
      <c r="BT160">
        <v>45592.98</v>
      </c>
      <c r="BU160">
        <v>17964</v>
      </c>
      <c r="BV160">
        <v>64360.480000000003</v>
      </c>
      <c r="BW160">
        <v>0</v>
      </c>
      <c r="BX160">
        <v>0</v>
      </c>
      <c r="BY160">
        <v>257</v>
      </c>
      <c r="BZ160">
        <v>67462.5</v>
      </c>
      <c r="CA160">
        <v>53970</v>
      </c>
      <c r="CB160">
        <v>177416</v>
      </c>
      <c r="CC160">
        <v>53970</v>
      </c>
      <c r="CD160">
        <v>0</v>
      </c>
      <c r="CE160">
        <v>0</v>
      </c>
      <c r="CF160">
        <v>0</v>
      </c>
      <c r="CG160">
        <v>0</v>
      </c>
      <c r="CH160">
        <v>0</v>
      </c>
      <c r="CI160">
        <v>0</v>
      </c>
      <c r="CJ160">
        <v>0</v>
      </c>
      <c r="CK160">
        <v>0</v>
      </c>
      <c r="CM160">
        <v>0</v>
      </c>
      <c r="CN160">
        <v>0</v>
      </c>
      <c r="CO160">
        <v>0</v>
      </c>
      <c r="CP160">
        <v>0</v>
      </c>
      <c r="CR160">
        <v>0</v>
      </c>
      <c r="CS160">
        <v>0</v>
      </c>
      <c r="CT160">
        <v>0</v>
      </c>
      <c r="CU160">
        <v>0</v>
      </c>
      <c r="CV160">
        <v>0</v>
      </c>
      <c r="CX160">
        <v>0</v>
      </c>
      <c r="CY160">
        <v>0</v>
      </c>
      <c r="CZ160">
        <v>0</v>
      </c>
      <c r="DB160">
        <v>0</v>
      </c>
      <c r="DC160">
        <v>0</v>
      </c>
      <c r="DD160">
        <v>1413.377</v>
      </c>
      <c r="DE160">
        <v>0</v>
      </c>
      <c r="DF160">
        <v>0</v>
      </c>
      <c r="DG160">
        <v>0</v>
      </c>
      <c r="DH160">
        <v>0</v>
      </c>
      <c r="DI160">
        <v>0</v>
      </c>
      <c r="DJ160">
        <v>0</v>
      </c>
      <c r="DK160">
        <v>0</v>
      </c>
      <c r="DL160">
        <v>0</v>
      </c>
      <c r="DM160">
        <v>0</v>
      </c>
      <c r="DR160">
        <v>0</v>
      </c>
      <c r="DS160">
        <v>0</v>
      </c>
      <c r="DT160">
        <v>54.236229999999999</v>
      </c>
      <c r="DU160">
        <v>53.420409999999997</v>
      </c>
      <c r="DV160">
        <v>95</v>
      </c>
      <c r="DW160">
        <v>22.334510000000002</v>
      </c>
      <c r="DX160">
        <v>75</v>
      </c>
      <c r="DY160">
        <v>63.049320000000002</v>
      </c>
      <c r="DZ160">
        <v>51.952930000000002</v>
      </c>
      <c r="EA160">
        <v>28.634360000000001</v>
      </c>
      <c r="EB160">
        <v>90</v>
      </c>
      <c r="EC160">
        <v>75</v>
      </c>
    </row>
    <row r="161" spans="2:133">
      <c r="B161" t="s">
        <v>483</v>
      </c>
      <c r="C161">
        <v>2</v>
      </c>
      <c r="D161" t="s">
        <v>473</v>
      </c>
      <c r="E161">
        <v>5</v>
      </c>
      <c r="F161" t="s">
        <v>640</v>
      </c>
      <c r="G161">
        <v>0</v>
      </c>
      <c r="H161" t="s">
        <v>484</v>
      </c>
      <c r="I161">
        <v>0</v>
      </c>
      <c r="J161">
        <v>1</v>
      </c>
      <c r="K161" t="s">
        <v>478</v>
      </c>
      <c r="L161" t="s">
        <v>482</v>
      </c>
      <c r="Y161">
        <v>96</v>
      </c>
      <c r="Z161">
        <v>75</v>
      </c>
      <c r="AA161">
        <v>95.358000000000004</v>
      </c>
      <c r="AB161">
        <v>75</v>
      </c>
      <c r="AC161">
        <v>29</v>
      </c>
      <c r="AF161">
        <v>75</v>
      </c>
      <c r="AG161">
        <v>52</v>
      </c>
      <c r="AH161">
        <v>63.062869999999997</v>
      </c>
      <c r="AI161">
        <v>75</v>
      </c>
      <c r="AJ161">
        <v>13924</v>
      </c>
      <c r="AK161">
        <v>236708</v>
      </c>
      <c r="AL161">
        <v>298804.3</v>
      </c>
      <c r="AM161">
        <v>77489.990000000005</v>
      </c>
      <c r="AN161">
        <v>376294.3</v>
      </c>
      <c r="AR161">
        <v>100019.9</v>
      </c>
      <c r="AS161">
        <v>13053.95</v>
      </c>
      <c r="AT161">
        <v>6246.4040000000005</v>
      </c>
      <c r="AU161" t="s">
        <v>476</v>
      </c>
      <c r="AV161">
        <v>0</v>
      </c>
      <c r="AW161">
        <v>0</v>
      </c>
      <c r="AX161">
        <v>0</v>
      </c>
      <c r="AY161">
        <v>0</v>
      </c>
      <c r="AZ161">
        <v>0</v>
      </c>
      <c r="BA161">
        <v>0</v>
      </c>
      <c r="BB161">
        <v>0</v>
      </c>
      <c r="BE161">
        <v>13925</v>
      </c>
      <c r="BF161">
        <v>27625.39</v>
      </c>
      <c r="BG161">
        <v>33821.040000000001</v>
      </c>
      <c r="BH161">
        <v>6653.5</v>
      </c>
      <c r="BI161">
        <v>22605.81</v>
      </c>
      <c r="BJ161">
        <v>50836.73</v>
      </c>
      <c r="BK161">
        <v>607.20000000000005</v>
      </c>
      <c r="BL161">
        <v>18506.849999999999</v>
      </c>
      <c r="BM161">
        <v>15362.16</v>
      </c>
      <c r="BN161">
        <v>0</v>
      </c>
      <c r="BO161">
        <v>0</v>
      </c>
      <c r="BP161">
        <v>0</v>
      </c>
      <c r="BQ161">
        <v>0</v>
      </c>
      <c r="BR161">
        <v>0</v>
      </c>
      <c r="BS161">
        <v>17797</v>
      </c>
      <c r="BT161">
        <v>63755.71</v>
      </c>
      <c r="BU161">
        <v>19384</v>
      </c>
      <c r="BV161">
        <v>69447.990000000005</v>
      </c>
      <c r="BW161">
        <v>0</v>
      </c>
      <c r="BX161">
        <v>0</v>
      </c>
      <c r="BY161">
        <v>369</v>
      </c>
      <c r="BZ161">
        <v>96862.5</v>
      </c>
      <c r="CA161">
        <v>77489.990000000005</v>
      </c>
      <c r="CB161">
        <v>230066.2</v>
      </c>
      <c r="CC161">
        <v>77489.990000000005</v>
      </c>
      <c r="CD161">
        <v>0</v>
      </c>
      <c r="CE161">
        <v>0</v>
      </c>
      <c r="CF161">
        <v>0</v>
      </c>
      <c r="CM161">
        <v>0</v>
      </c>
      <c r="CN161">
        <v>0</v>
      </c>
      <c r="CR161">
        <v>0</v>
      </c>
      <c r="CS161">
        <v>0</v>
      </c>
      <c r="CU161">
        <v>0</v>
      </c>
      <c r="CV161">
        <v>0</v>
      </c>
      <c r="CW161" t="s">
        <v>477</v>
      </c>
      <c r="CX161">
        <v>0</v>
      </c>
      <c r="CY161">
        <v>0</v>
      </c>
      <c r="CZ161">
        <v>0</v>
      </c>
      <c r="DA161" t="s">
        <v>477</v>
      </c>
      <c r="DB161">
        <v>0</v>
      </c>
      <c r="DC161">
        <v>0</v>
      </c>
      <c r="DN161">
        <v>0</v>
      </c>
      <c r="DO161">
        <v>0</v>
      </c>
    </row>
    <row r="162" spans="2:133">
      <c r="B162" t="s">
        <v>485</v>
      </c>
      <c r="C162">
        <v>6</v>
      </c>
      <c r="D162" t="s">
        <v>473</v>
      </c>
      <c r="E162">
        <v>5</v>
      </c>
      <c r="F162" t="s">
        <v>640</v>
      </c>
      <c r="J162">
        <v>1</v>
      </c>
      <c r="AJ162">
        <v>13924</v>
      </c>
      <c r="AK162">
        <v>236708</v>
      </c>
      <c r="AL162">
        <v>298804.3</v>
      </c>
      <c r="AM162">
        <v>77489.990000000005</v>
      </c>
      <c r="AN162">
        <v>376294.3</v>
      </c>
      <c r="AR162">
        <v>100019.9</v>
      </c>
      <c r="AS162">
        <v>13053.95</v>
      </c>
      <c r="AT162">
        <v>6246.4040000000005</v>
      </c>
    </row>
    <row r="163" spans="2:133">
      <c r="B163" t="s">
        <v>82</v>
      </c>
      <c r="C163">
        <v>1</v>
      </c>
      <c r="D163" t="s">
        <v>473</v>
      </c>
      <c r="E163">
        <v>5</v>
      </c>
      <c r="F163" t="s">
        <v>640</v>
      </c>
      <c r="J163">
        <v>1</v>
      </c>
      <c r="K163" t="s">
        <v>478</v>
      </c>
      <c r="L163" t="s">
        <v>482</v>
      </c>
      <c r="Y163">
        <v>96</v>
      </c>
      <c r="Z163">
        <v>75</v>
      </c>
      <c r="AA163">
        <v>95.358000000000004</v>
      </c>
      <c r="AB163">
        <v>75</v>
      </c>
      <c r="AC163">
        <v>29</v>
      </c>
      <c r="AD163" t="s">
        <v>637</v>
      </c>
      <c r="AE163">
        <v>2</v>
      </c>
      <c r="AF163">
        <v>75</v>
      </c>
      <c r="AG163">
        <v>52</v>
      </c>
      <c r="AH163">
        <v>63.062869999999997</v>
      </c>
      <c r="AI163">
        <v>75</v>
      </c>
      <c r="AJ163">
        <v>13924</v>
      </c>
      <c r="AK163">
        <v>236708</v>
      </c>
      <c r="AL163">
        <v>300622.59999999998</v>
      </c>
      <c r="AM163">
        <v>77489.990000000005</v>
      </c>
      <c r="AN163">
        <v>378112.6</v>
      </c>
      <c r="AO163">
        <v>0</v>
      </c>
      <c r="AP163">
        <v>31.50939</v>
      </c>
      <c r="AQ163">
        <v>0</v>
      </c>
      <c r="AR163">
        <v>100019.9</v>
      </c>
      <c r="AS163">
        <v>13053.93</v>
      </c>
      <c r="AT163">
        <v>6246.4040000000005</v>
      </c>
      <c r="AU163" t="s">
        <v>476</v>
      </c>
      <c r="AV163">
        <v>0</v>
      </c>
      <c r="AW163">
        <v>0</v>
      </c>
      <c r="AX163">
        <v>0</v>
      </c>
      <c r="BA163">
        <v>0</v>
      </c>
      <c r="BB163">
        <v>0</v>
      </c>
      <c r="BC163">
        <v>300622.59999999998</v>
      </c>
      <c r="BD163">
        <v>0</v>
      </c>
      <c r="BE163">
        <v>13925</v>
      </c>
      <c r="BF163">
        <v>27625.39</v>
      </c>
      <c r="BG163">
        <v>33821.040000000001</v>
      </c>
      <c r="BH163">
        <v>6653.5</v>
      </c>
      <c r="BI163">
        <v>22605.81</v>
      </c>
      <c r="BJ163">
        <v>50836.73</v>
      </c>
      <c r="BK163">
        <v>607.20000000000005</v>
      </c>
      <c r="BL163">
        <v>18506.849999999999</v>
      </c>
      <c r="BM163">
        <v>15362.16</v>
      </c>
      <c r="BN163">
        <v>0</v>
      </c>
      <c r="BO163">
        <v>0</v>
      </c>
      <c r="BP163">
        <v>0</v>
      </c>
      <c r="BQ163">
        <v>0</v>
      </c>
      <c r="BR163">
        <v>0</v>
      </c>
      <c r="BS163">
        <v>17797</v>
      </c>
      <c r="BT163">
        <v>63755.71</v>
      </c>
      <c r="BU163">
        <v>19384</v>
      </c>
      <c r="BV163">
        <v>69447.990000000005</v>
      </c>
      <c r="BW163">
        <v>0</v>
      </c>
      <c r="BX163">
        <v>0</v>
      </c>
      <c r="BY163">
        <v>369</v>
      </c>
      <c r="BZ163">
        <v>96862.5</v>
      </c>
      <c r="CA163">
        <v>77489.990000000005</v>
      </c>
      <c r="CB163">
        <v>230066.2</v>
      </c>
      <c r="CC163">
        <v>77489.990000000005</v>
      </c>
      <c r="CD163">
        <v>0</v>
      </c>
      <c r="CE163">
        <v>0</v>
      </c>
      <c r="CF163">
        <v>0</v>
      </c>
      <c r="CG163">
        <v>0</v>
      </c>
      <c r="CH163">
        <v>0</v>
      </c>
      <c r="CI163">
        <v>0</v>
      </c>
      <c r="CJ163">
        <v>0</v>
      </c>
      <c r="CK163">
        <v>0</v>
      </c>
      <c r="CM163">
        <v>0</v>
      </c>
      <c r="CN163">
        <v>0</v>
      </c>
      <c r="CO163">
        <v>0</v>
      </c>
      <c r="CP163">
        <v>0</v>
      </c>
      <c r="CR163">
        <v>0</v>
      </c>
      <c r="CS163">
        <v>0</v>
      </c>
      <c r="CT163">
        <v>0</v>
      </c>
      <c r="CU163">
        <v>0</v>
      </c>
      <c r="CV163">
        <v>0</v>
      </c>
      <c r="CX163">
        <v>0</v>
      </c>
      <c r="CY163">
        <v>0</v>
      </c>
      <c r="CZ163">
        <v>0</v>
      </c>
      <c r="DB163">
        <v>0</v>
      </c>
      <c r="DC163">
        <v>0</v>
      </c>
      <c r="DD163">
        <v>1818.3789999999999</v>
      </c>
      <c r="DE163">
        <v>0</v>
      </c>
      <c r="DF163">
        <v>0</v>
      </c>
      <c r="DG163">
        <v>0</v>
      </c>
      <c r="DH163">
        <v>0</v>
      </c>
      <c r="DI163">
        <v>0</v>
      </c>
      <c r="DJ163">
        <v>0</v>
      </c>
      <c r="DK163">
        <v>0</v>
      </c>
      <c r="DL163">
        <v>0</v>
      </c>
      <c r="DM163">
        <v>0</v>
      </c>
      <c r="DR163">
        <v>0</v>
      </c>
      <c r="DS163">
        <v>0</v>
      </c>
      <c r="DT163">
        <v>53.819049999999997</v>
      </c>
      <c r="DU163">
        <v>53.005369999999999</v>
      </c>
      <c r="DV163">
        <v>95</v>
      </c>
      <c r="DW163">
        <v>22.089839999999999</v>
      </c>
      <c r="DX163">
        <v>75</v>
      </c>
      <c r="DY163">
        <v>63.049320000000002</v>
      </c>
      <c r="DZ163">
        <v>51.952930000000002</v>
      </c>
      <c r="EA163">
        <v>28.633710000000001</v>
      </c>
      <c r="EB163">
        <v>90</v>
      </c>
      <c r="EC163">
        <v>75</v>
      </c>
    </row>
    <row r="164" spans="2:133">
      <c r="B164" t="s">
        <v>483</v>
      </c>
      <c r="C164">
        <v>2</v>
      </c>
      <c r="D164" t="s">
        <v>473</v>
      </c>
      <c r="E164">
        <v>6</v>
      </c>
      <c r="F164" t="s">
        <v>641</v>
      </c>
      <c r="G164">
        <v>0</v>
      </c>
      <c r="H164" t="s">
        <v>484</v>
      </c>
      <c r="I164">
        <v>0</v>
      </c>
      <c r="J164">
        <v>1</v>
      </c>
      <c r="K164" t="s">
        <v>478</v>
      </c>
      <c r="L164" t="s">
        <v>482</v>
      </c>
      <c r="Y164">
        <v>96</v>
      </c>
      <c r="Z164">
        <v>75</v>
      </c>
      <c r="AA164">
        <v>95.358000000000004</v>
      </c>
      <c r="AB164">
        <v>75</v>
      </c>
      <c r="AC164">
        <v>29</v>
      </c>
      <c r="AF164">
        <v>75</v>
      </c>
      <c r="AG164">
        <v>51</v>
      </c>
      <c r="AH164">
        <v>62.78199</v>
      </c>
      <c r="AI164">
        <v>75</v>
      </c>
      <c r="AJ164">
        <v>3622</v>
      </c>
      <c r="AK164">
        <v>61574</v>
      </c>
      <c r="AL164">
        <v>55652.14</v>
      </c>
      <c r="AM164">
        <v>11970</v>
      </c>
      <c r="AN164">
        <v>67622.14</v>
      </c>
      <c r="AR164">
        <v>8797.1139999999996</v>
      </c>
      <c r="AS164">
        <v>2775.2</v>
      </c>
      <c r="AT164">
        <v>549.39380000000006</v>
      </c>
      <c r="AU164" t="s">
        <v>476</v>
      </c>
      <c r="AV164">
        <v>0</v>
      </c>
      <c r="AW164">
        <v>0</v>
      </c>
      <c r="AX164">
        <v>0</v>
      </c>
      <c r="AY164">
        <v>0</v>
      </c>
      <c r="AZ164">
        <v>0</v>
      </c>
      <c r="BA164">
        <v>0</v>
      </c>
      <c r="BB164">
        <v>0</v>
      </c>
      <c r="BE164">
        <v>3622</v>
      </c>
      <c r="BF164">
        <v>7185.5770000000002</v>
      </c>
      <c r="BG164">
        <v>8797.1139999999996</v>
      </c>
      <c r="BH164">
        <v>0</v>
      </c>
      <c r="BI164">
        <v>0</v>
      </c>
      <c r="BJ164">
        <v>0</v>
      </c>
      <c r="BK164">
        <v>0</v>
      </c>
      <c r="BL164">
        <v>0</v>
      </c>
      <c r="BM164">
        <v>0</v>
      </c>
      <c r="BN164">
        <v>0</v>
      </c>
      <c r="BO164">
        <v>0</v>
      </c>
      <c r="BP164">
        <v>0</v>
      </c>
      <c r="BQ164">
        <v>0</v>
      </c>
      <c r="BR164">
        <v>0</v>
      </c>
      <c r="BS164">
        <v>4178</v>
      </c>
      <c r="BT164">
        <v>14970.51</v>
      </c>
      <c r="BU164">
        <v>5173</v>
      </c>
      <c r="BV164">
        <v>18533.560000000001</v>
      </c>
      <c r="BW164">
        <v>0</v>
      </c>
      <c r="BX164">
        <v>0</v>
      </c>
      <c r="BY164">
        <v>57</v>
      </c>
      <c r="BZ164">
        <v>14962.5</v>
      </c>
      <c r="CA164">
        <v>11970</v>
      </c>
      <c r="CB164">
        <v>48466.57</v>
      </c>
      <c r="CC164">
        <v>11970</v>
      </c>
      <c r="CD164">
        <v>0</v>
      </c>
      <c r="CE164">
        <v>0</v>
      </c>
      <c r="CF164">
        <v>0</v>
      </c>
      <c r="CM164">
        <v>0</v>
      </c>
      <c r="CN164">
        <v>0</v>
      </c>
      <c r="CR164">
        <v>0</v>
      </c>
      <c r="CS164">
        <v>0</v>
      </c>
      <c r="CU164">
        <v>0</v>
      </c>
      <c r="CV164">
        <v>0</v>
      </c>
      <c r="CW164" t="s">
        <v>477</v>
      </c>
      <c r="CX164">
        <v>0</v>
      </c>
      <c r="CY164">
        <v>0</v>
      </c>
      <c r="CZ164">
        <v>0</v>
      </c>
      <c r="DA164" t="s">
        <v>477</v>
      </c>
      <c r="DB164">
        <v>0</v>
      </c>
      <c r="DC164">
        <v>0</v>
      </c>
      <c r="DN164">
        <v>0</v>
      </c>
      <c r="DO164">
        <v>0</v>
      </c>
    </row>
    <row r="165" spans="2:133">
      <c r="B165" t="s">
        <v>485</v>
      </c>
      <c r="C165">
        <v>6</v>
      </c>
      <c r="D165" t="s">
        <v>473</v>
      </c>
      <c r="E165">
        <v>6</v>
      </c>
      <c r="F165" t="s">
        <v>641</v>
      </c>
      <c r="J165">
        <v>1</v>
      </c>
      <c r="AJ165">
        <v>3622</v>
      </c>
      <c r="AK165">
        <v>61574</v>
      </c>
      <c r="AL165">
        <v>55652.14</v>
      </c>
      <c r="AM165">
        <v>11970</v>
      </c>
      <c r="AN165">
        <v>67622.14</v>
      </c>
      <c r="AR165">
        <v>8797.1139999999996</v>
      </c>
      <c r="AS165">
        <v>2775.2</v>
      </c>
      <c r="AT165">
        <v>549.39380000000006</v>
      </c>
    </row>
    <row r="166" spans="2:133">
      <c r="B166" t="s">
        <v>82</v>
      </c>
      <c r="C166">
        <v>1</v>
      </c>
      <c r="D166" t="s">
        <v>473</v>
      </c>
      <c r="E166">
        <v>6</v>
      </c>
      <c r="F166" t="s">
        <v>641</v>
      </c>
      <c r="J166">
        <v>1</v>
      </c>
      <c r="K166" t="s">
        <v>478</v>
      </c>
      <c r="L166" t="s">
        <v>482</v>
      </c>
      <c r="Y166">
        <v>96</v>
      </c>
      <c r="Z166">
        <v>75</v>
      </c>
      <c r="AA166">
        <v>95.358000000000004</v>
      </c>
      <c r="AB166">
        <v>75</v>
      </c>
      <c r="AC166">
        <v>29</v>
      </c>
      <c r="AD166" t="s">
        <v>493</v>
      </c>
      <c r="AE166">
        <v>1</v>
      </c>
      <c r="AF166">
        <v>75</v>
      </c>
      <c r="AG166">
        <v>51</v>
      </c>
      <c r="AH166">
        <v>62.78199</v>
      </c>
      <c r="AI166">
        <v>75</v>
      </c>
      <c r="AJ166">
        <v>3622</v>
      </c>
      <c r="AK166">
        <v>61574</v>
      </c>
      <c r="AL166">
        <v>62369.95</v>
      </c>
      <c r="AM166">
        <v>11970</v>
      </c>
      <c r="AN166">
        <v>74339.95</v>
      </c>
      <c r="AO166">
        <v>0</v>
      </c>
      <c r="AP166">
        <v>6.1949959999999997</v>
      </c>
      <c r="AQ166">
        <v>0</v>
      </c>
      <c r="AR166">
        <v>8797.1139999999996</v>
      </c>
      <c r="AS166">
        <v>2776.01</v>
      </c>
      <c r="AT166">
        <v>549.39380000000006</v>
      </c>
      <c r="AU166" t="s">
        <v>476</v>
      </c>
      <c r="AV166">
        <v>0</v>
      </c>
      <c r="AW166">
        <v>0</v>
      </c>
      <c r="AX166">
        <v>0</v>
      </c>
      <c r="BA166">
        <v>0</v>
      </c>
      <c r="BB166">
        <v>0</v>
      </c>
      <c r="BC166">
        <v>62369.95</v>
      </c>
      <c r="BD166">
        <v>0</v>
      </c>
      <c r="BE166">
        <v>3622</v>
      </c>
      <c r="BF166">
        <v>7185.5770000000002</v>
      </c>
      <c r="BG166">
        <v>8797.1139999999996</v>
      </c>
      <c r="BH166">
        <v>0</v>
      </c>
      <c r="BI166">
        <v>0</v>
      </c>
      <c r="BJ166">
        <v>0</v>
      </c>
      <c r="BK166">
        <v>0</v>
      </c>
      <c r="BL166">
        <v>0</v>
      </c>
      <c r="BM166">
        <v>0</v>
      </c>
      <c r="BN166">
        <v>0</v>
      </c>
      <c r="BO166">
        <v>0</v>
      </c>
      <c r="BP166">
        <v>0</v>
      </c>
      <c r="BQ166">
        <v>0</v>
      </c>
      <c r="BR166">
        <v>0</v>
      </c>
      <c r="BS166">
        <v>4178</v>
      </c>
      <c r="BT166">
        <v>14970.51</v>
      </c>
      <c r="BU166">
        <v>5173</v>
      </c>
      <c r="BV166">
        <v>18533.560000000001</v>
      </c>
      <c r="BW166">
        <v>0</v>
      </c>
      <c r="BX166">
        <v>0</v>
      </c>
      <c r="BY166">
        <v>57</v>
      </c>
      <c r="BZ166">
        <v>14962.5</v>
      </c>
      <c r="CA166">
        <v>11970</v>
      </c>
      <c r="CB166">
        <v>48466.57</v>
      </c>
      <c r="CC166">
        <v>11970</v>
      </c>
      <c r="CD166">
        <v>0</v>
      </c>
      <c r="CE166">
        <v>0</v>
      </c>
      <c r="CF166">
        <v>0</v>
      </c>
      <c r="CG166">
        <v>0</v>
      </c>
      <c r="CH166">
        <v>0</v>
      </c>
      <c r="CI166">
        <v>0</v>
      </c>
      <c r="CJ166">
        <v>0</v>
      </c>
      <c r="CK166">
        <v>0</v>
      </c>
      <c r="CM166">
        <v>0</v>
      </c>
      <c r="CN166">
        <v>0</v>
      </c>
      <c r="CO166">
        <v>0</v>
      </c>
      <c r="CP166">
        <v>0</v>
      </c>
      <c r="CR166">
        <v>0</v>
      </c>
      <c r="CS166">
        <v>0</v>
      </c>
      <c r="CT166">
        <v>0</v>
      </c>
      <c r="CU166">
        <v>0</v>
      </c>
      <c r="CV166">
        <v>0</v>
      </c>
      <c r="CX166">
        <v>0</v>
      </c>
      <c r="CY166">
        <v>0</v>
      </c>
      <c r="CZ166">
        <v>0</v>
      </c>
      <c r="DB166">
        <v>0</v>
      </c>
      <c r="DC166">
        <v>0</v>
      </c>
      <c r="DD166">
        <v>386.69099999999997</v>
      </c>
      <c r="DE166">
        <v>0</v>
      </c>
      <c r="DF166">
        <v>6331.12</v>
      </c>
      <c r="DG166">
        <v>0</v>
      </c>
      <c r="DH166">
        <v>0</v>
      </c>
      <c r="DI166">
        <v>0</v>
      </c>
      <c r="DJ166">
        <v>0</v>
      </c>
      <c r="DK166">
        <v>0</v>
      </c>
      <c r="DL166">
        <v>0</v>
      </c>
      <c r="DM166">
        <v>0</v>
      </c>
      <c r="DR166">
        <v>0</v>
      </c>
      <c r="DS166">
        <v>0</v>
      </c>
      <c r="DT166">
        <v>54.335880000000003</v>
      </c>
      <c r="DU166">
        <v>53.51379</v>
      </c>
      <c r="DV166">
        <v>95</v>
      </c>
      <c r="DW166">
        <v>22.393260000000001</v>
      </c>
      <c r="DX166">
        <v>75</v>
      </c>
      <c r="DY166">
        <v>62.779539999999997</v>
      </c>
      <c r="DZ166">
        <v>50.99906</v>
      </c>
      <c r="EA166">
        <v>28.434799999999999</v>
      </c>
      <c r="EB166">
        <v>90</v>
      </c>
      <c r="EC166">
        <v>75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structions"/>
  <dimension ref="A1:I58"/>
  <sheetViews>
    <sheetView zoomScaleNormal="100" workbookViewId="0">
      <selection activeCell="L7" sqref="L7"/>
    </sheetView>
  </sheetViews>
  <sheetFormatPr defaultColWidth="11.5703125" defaultRowHeight="12.75"/>
  <cols>
    <col min="1" max="1" width="5.85546875" style="16" customWidth="1"/>
    <col min="2" max="2" width="56.5703125" style="16" customWidth="1"/>
    <col min="3" max="3" width="6.7109375" style="16" customWidth="1"/>
    <col min="4" max="4" width="8.42578125" style="16" customWidth="1"/>
    <col min="5" max="8" width="11.5703125" style="16" customWidth="1"/>
    <col min="9" max="9" width="20.5703125" style="16" customWidth="1"/>
    <col min="10" max="16384" width="11.5703125" style="16"/>
  </cols>
  <sheetData>
    <row r="1" spans="1:9">
      <c r="A1" s="333" t="s">
        <v>166</v>
      </c>
      <c r="B1" s="334"/>
      <c r="C1" s="334"/>
      <c r="D1" s="334"/>
      <c r="E1" s="334"/>
      <c r="F1" s="334"/>
      <c r="G1" s="334"/>
      <c r="H1" s="334"/>
      <c r="I1" s="187" t="s">
        <v>326</v>
      </c>
    </row>
    <row r="2" spans="1:9">
      <c r="A2" s="335"/>
      <c r="B2" s="336"/>
      <c r="C2" s="336"/>
      <c r="D2" s="336"/>
      <c r="E2" s="336"/>
      <c r="F2" s="336"/>
      <c r="G2" s="336"/>
      <c r="H2" s="336"/>
      <c r="I2" s="337"/>
    </row>
    <row r="3" spans="1:9" ht="45" customHeight="1">
      <c r="A3" s="341" t="s">
        <v>25</v>
      </c>
      <c r="B3" s="266"/>
      <c r="C3" s="266"/>
      <c r="D3" s="266"/>
      <c r="E3" s="266"/>
      <c r="F3" s="266"/>
      <c r="G3" s="266"/>
      <c r="H3" s="266"/>
      <c r="I3" s="267"/>
    </row>
    <row r="4" spans="1:9">
      <c r="A4" s="335"/>
      <c r="B4" s="336"/>
      <c r="C4" s="336"/>
      <c r="D4" s="336"/>
      <c r="E4" s="336"/>
      <c r="F4" s="336"/>
      <c r="G4" s="336"/>
      <c r="H4" s="336"/>
      <c r="I4" s="337"/>
    </row>
    <row r="5" spans="1:9" ht="45" customHeight="1">
      <c r="A5" s="340" t="s">
        <v>323</v>
      </c>
      <c r="B5" s="266"/>
      <c r="C5" s="266"/>
      <c r="D5" s="266"/>
      <c r="E5" s="266"/>
      <c r="F5" s="266"/>
      <c r="G5" s="266"/>
      <c r="H5" s="266"/>
      <c r="I5" s="267"/>
    </row>
    <row r="6" spans="1:9">
      <c r="A6" s="335"/>
      <c r="B6" s="336"/>
      <c r="C6" s="336"/>
      <c r="D6" s="336"/>
      <c r="E6" s="336"/>
      <c r="F6" s="336"/>
      <c r="G6" s="336"/>
      <c r="H6" s="336"/>
      <c r="I6" s="337"/>
    </row>
    <row r="7" spans="1:9" ht="28.5" customHeight="1">
      <c r="A7" s="279" t="s">
        <v>321</v>
      </c>
      <c r="B7" s="280"/>
      <c r="C7" s="280"/>
      <c r="D7" s="280"/>
      <c r="E7" s="280"/>
      <c r="F7" s="280"/>
      <c r="G7" s="280"/>
      <c r="H7" s="280"/>
      <c r="I7" s="281"/>
    </row>
    <row r="8" spans="1:9" ht="12.75" customHeight="1">
      <c r="A8" s="338"/>
      <c r="B8" s="338"/>
      <c r="C8" s="338"/>
      <c r="D8" s="338"/>
      <c r="E8" s="338"/>
      <c r="F8" s="338"/>
      <c r="G8" s="338"/>
      <c r="H8" s="338"/>
      <c r="I8" s="339"/>
    </row>
    <row r="9" spans="1:9" ht="12.75" customHeight="1">
      <c r="A9" s="285" t="s">
        <v>322</v>
      </c>
      <c r="B9" s="286"/>
      <c r="C9" s="286"/>
      <c r="D9" s="286"/>
      <c r="E9" s="286"/>
      <c r="F9" s="286"/>
      <c r="G9" s="286"/>
      <c r="H9" s="286"/>
      <c r="I9" s="287"/>
    </row>
    <row r="10" spans="1:9">
      <c r="A10" s="295"/>
      <c r="B10" s="295"/>
      <c r="C10" s="295"/>
      <c r="D10" s="295"/>
      <c r="E10" s="295"/>
      <c r="F10" s="295"/>
      <c r="G10" s="295"/>
      <c r="H10" s="295"/>
      <c r="I10" s="296"/>
    </row>
    <row r="11" spans="1:9" ht="54.75" customHeight="1">
      <c r="A11" s="282" t="s">
        <v>301</v>
      </c>
      <c r="B11" s="280"/>
      <c r="C11" s="280"/>
      <c r="D11" s="280"/>
      <c r="E11" s="280"/>
      <c r="F11" s="280"/>
      <c r="G11" s="280"/>
      <c r="H11" s="280"/>
      <c r="I11" s="281"/>
    </row>
    <row r="12" spans="1:9" ht="13.5" thickBot="1">
      <c r="A12" s="292"/>
      <c r="B12" s="293"/>
      <c r="C12" s="293"/>
      <c r="D12" s="293"/>
      <c r="E12" s="293"/>
      <c r="F12" s="293"/>
      <c r="G12" s="293"/>
      <c r="H12" s="293"/>
      <c r="I12" s="294"/>
    </row>
    <row r="13" spans="1:9">
      <c r="A13" s="288" t="s">
        <v>127</v>
      </c>
      <c r="B13" s="289"/>
      <c r="C13" s="275" t="s">
        <v>173</v>
      </c>
      <c r="D13" s="275"/>
      <c r="E13" s="275"/>
      <c r="F13" s="275"/>
      <c r="G13" s="275"/>
      <c r="H13" s="275"/>
      <c r="I13" s="276"/>
    </row>
    <row r="14" spans="1:9">
      <c r="A14" s="290" t="s">
        <v>128</v>
      </c>
      <c r="B14" s="291"/>
      <c r="C14" s="283" t="s">
        <v>174</v>
      </c>
      <c r="D14" s="283"/>
      <c r="E14" s="283"/>
      <c r="F14" s="283"/>
      <c r="G14" s="283"/>
      <c r="H14" s="283"/>
      <c r="I14" s="284"/>
    </row>
    <row r="15" spans="1:9" ht="26.25" customHeight="1">
      <c r="A15" s="290" t="s">
        <v>126</v>
      </c>
      <c r="B15" s="291"/>
      <c r="C15" s="262" t="s">
        <v>167</v>
      </c>
      <c r="D15" s="262"/>
      <c r="E15" s="262"/>
      <c r="F15" s="262"/>
      <c r="G15" s="262"/>
      <c r="H15" s="262"/>
      <c r="I15" s="263"/>
    </row>
    <row r="16" spans="1:9" ht="13.5" thickBot="1">
      <c r="A16" s="300" t="s">
        <v>133</v>
      </c>
      <c r="B16" s="301"/>
      <c r="C16" s="305" t="s">
        <v>175</v>
      </c>
      <c r="D16" s="305"/>
      <c r="E16" s="305"/>
      <c r="F16" s="305"/>
      <c r="G16" s="305"/>
      <c r="H16" s="305"/>
      <c r="I16" s="306"/>
    </row>
    <row r="17" spans="1:9" ht="13.5" thickBot="1">
      <c r="A17" s="302"/>
      <c r="B17" s="303"/>
      <c r="C17" s="303"/>
      <c r="D17" s="303"/>
      <c r="E17" s="303"/>
      <c r="F17" s="303"/>
      <c r="G17" s="303"/>
      <c r="H17" s="303"/>
      <c r="I17" s="304"/>
    </row>
    <row r="18" spans="1:9">
      <c r="A18" s="312" t="s">
        <v>83</v>
      </c>
      <c r="B18" s="310"/>
      <c r="C18" s="192" t="s">
        <v>124</v>
      </c>
      <c r="D18" s="192" t="s">
        <v>125</v>
      </c>
      <c r="E18" s="310" t="s">
        <v>172</v>
      </c>
      <c r="F18" s="310"/>
      <c r="G18" s="310"/>
      <c r="H18" s="310"/>
      <c r="I18" s="311"/>
    </row>
    <row r="19" spans="1:9" ht="51" customHeight="1">
      <c r="A19" s="166"/>
      <c r="B19" s="167" t="s">
        <v>84</v>
      </c>
      <c r="C19" s="167" t="s">
        <v>85</v>
      </c>
      <c r="D19" s="168" t="s">
        <v>168</v>
      </c>
      <c r="E19" s="277" t="s">
        <v>308</v>
      </c>
      <c r="F19" s="277"/>
      <c r="G19" s="277"/>
      <c r="H19" s="277"/>
      <c r="I19" s="278"/>
    </row>
    <row r="20" spans="1:9" ht="117.75" customHeight="1">
      <c r="A20" s="169"/>
      <c r="B20" s="170" t="s">
        <v>304</v>
      </c>
      <c r="C20" s="171" t="s">
        <v>65</v>
      </c>
      <c r="D20" s="172" t="s">
        <v>86</v>
      </c>
      <c r="E20" s="261" t="s">
        <v>324</v>
      </c>
      <c r="F20" s="262"/>
      <c r="G20" s="262"/>
      <c r="H20" s="262"/>
      <c r="I20" s="263"/>
    </row>
    <row r="21" spans="1:9" ht="129.75" customHeight="1">
      <c r="A21" s="169"/>
      <c r="B21" s="170" t="s">
        <v>87</v>
      </c>
      <c r="C21" s="170" t="s">
        <v>178</v>
      </c>
      <c r="D21" s="172" t="s">
        <v>169</v>
      </c>
      <c r="E21" s="261" t="s">
        <v>325</v>
      </c>
      <c r="F21" s="262"/>
      <c r="G21" s="262"/>
      <c r="H21" s="262"/>
      <c r="I21" s="263"/>
    </row>
    <row r="22" spans="1:9" ht="79.900000000000006" customHeight="1">
      <c r="A22" s="173"/>
      <c r="B22" s="170" t="s">
        <v>130</v>
      </c>
      <c r="C22" s="170" t="s">
        <v>89</v>
      </c>
      <c r="D22" s="172" t="s">
        <v>170</v>
      </c>
      <c r="E22" s="262" t="s">
        <v>196</v>
      </c>
      <c r="F22" s="262"/>
      <c r="G22" s="262"/>
      <c r="H22" s="262"/>
      <c r="I22" s="263"/>
    </row>
    <row r="23" spans="1:9" ht="79.900000000000006" customHeight="1">
      <c r="A23" s="173"/>
      <c r="B23" s="170" t="s">
        <v>131</v>
      </c>
      <c r="C23" s="170" t="s">
        <v>90</v>
      </c>
      <c r="D23" s="172" t="s">
        <v>171</v>
      </c>
      <c r="E23" s="262" t="s">
        <v>197</v>
      </c>
      <c r="F23" s="262"/>
      <c r="G23" s="262"/>
      <c r="H23" s="262"/>
      <c r="I23" s="263"/>
    </row>
    <row r="24" spans="1:9" ht="55.5" customHeight="1" thickBot="1">
      <c r="A24" s="174"/>
      <c r="B24" s="175" t="s">
        <v>303</v>
      </c>
      <c r="C24" s="175"/>
      <c r="D24" s="176" t="s">
        <v>88</v>
      </c>
      <c r="E24" s="313" t="s">
        <v>309</v>
      </c>
      <c r="F24" s="313"/>
      <c r="G24" s="313"/>
      <c r="H24" s="313"/>
      <c r="I24" s="314"/>
    </row>
    <row r="25" spans="1:9" ht="78.599999999999994" hidden="1" customHeight="1" thickBot="1">
      <c r="A25" s="14"/>
      <c r="B25" s="126" t="s">
        <v>144</v>
      </c>
      <c r="C25" s="127"/>
      <c r="D25" s="128"/>
      <c r="E25" s="268" t="s">
        <v>179</v>
      </c>
      <c r="F25" s="268"/>
      <c r="G25" s="268"/>
      <c r="H25" s="268"/>
      <c r="I25" s="269"/>
    </row>
    <row r="26" spans="1:9" ht="50.45" customHeight="1" thickBot="1">
      <c r="A26" s="188" t="s">
        <v>233</v>
      </c>
      <c r="B26" s="189"/>
      <c r="C26" s="190"/>
      <c r="D26" s="191"/>
      <c r="E26" s="315" t="s">
        <v>242</v>
      </c>
      <c r="F26" s="315"/>
      <c r="G26" s="315"/>
      <c r="H26" s="315"/>
      <c r="I26" s="316"/>
    </row>
    <row r="27" spans="1:9" ht="15.6" customHeight="1" thickBot="1">
      <c r="A27" s="307"/>
      <c r="B27" s="308"/>
      <c r="C27" s="308"/>
      <c r="D27" s="308"/>
      <c r="E27" s="308"/>
      <c r="F27" s="308"/>
      <c r="G27" s="308"/>
      <c r="H27" s="308"/>
      <c r="I27" s="309"/>
    </row>
    <row r="28" spans="1:9">
      <c r="A28" s="12" t="s">
        <v>91</v>
      </c>
      <c r="B28" s="10"/>
      <c r="C28" s="4"/>
      <c r="D28" s="125"/>
      <c r="E28" s="2"/>
      <c r="F28" s="2"/>
      <c r="G28" s="6"/>
      <c r="H28" s="2"/>
      <c r="I28" s="17"/>
    </row>
    <row r="29" spans="1:9" ht="100.15" customHeight="1" thickBot="1">
      <c r="A29" s="297" t="s">
        <v>327</v>
      </c>
      <c r="B29" s="298"/>
      <c r="C29" s="298"/>
      <c r="D29" s="298"/>
      <c r="E29" s="298"/>
      <c r="F29" s="298"/>
      <c r="G29" s="298"/>
      <c r="H29" s="298"/>
      <c r="I29" s="299"/>
    </row>
    <row r="30" spans="1:9" ht="28.5" customHeight="1" thickBot="1">
      <c r="A30" s="317" t="s">
        <v>234</v>
      </c>
      <c r="B30" s="318"/>
      <c r="C30" s="318"/>
      <c r="D30" s="318"/>
      <c r="E30" s="318"/>
      <c r="F30" s="318"/>
      <c r="G30" s="318"/>
      <c r="H30" s="318"/>
      <c r="I30" s="319"/>
    </row>
    <row r="31" spans="1:9" ht="45.6" customHeight="1">
      <c r="A31" s="177"/>
      <c r="B31" s="178" t="s">
        <v>134</v>
      </c>
      <c r="C31" s="179"/>
      <c r="D31" s="180"/>
      <c r="E31" s="320" t="s">
        <v>240</v>
      </c>
      <c r="F31" s="320"/>
      <c r="G31" s="320"/>
      <c r="H31" s="320"/>
      <c r="I31" s="321"/>
    </row>
    <row r="32" spans="1:9" ht="32.25" customHeight="1">
      <c r="A32" s="181"/>
      <c r="B32" s="170" t="s">
        <v>154</v>
      </c>
      <c r="C32" s="182"/>
      <c r="D32" s="172"/>
      <c r="E32" s="262" t="s">
        <v>180</v>
      </c>
      <c r="F32" s="262"/>
      <c r="G32" s="262"/>
      <c r="H32" s="262"/>
      <c r="I32" s="263"/>
    </row>
    <row r="33" spans="1:9" ht="43.5" customHeight="1">
      <c r="A33" s="169"/>
      <c r="B33" s="170" t="s">
        <v>140</v>
      </c>
      <c r="C33" s="182"/>
      <c r="D33" s="170"/>
      <c r="E33" s="262" t="s">
        <v>316</v>
      </c>
      <c r="F33" s="262"/>
      <c r="G33" s="262"/>
      <c r="H33" s="262"/>
      <c r="I33" s="263"/>
    </row>
    <row r="34" spans="1:9" ht="18.600000000000001" customHeight="1">
      <c r="A34" s="169"/>
      <c r="B34" s="170" t="s">
        <v>93</v>
      </c>
      <c r="C34" s="171" t="s">
        <v>78</v>
      </c>
      <c r="D34" s="170" t="str">
        <f>$D$19</f>
        <v>sf or sm</v>
      </c>
      <c r="E34" s="262" t="s">
        <v>181</v>
      </c>
      <c r="F34" s="262"/>
      <c r="G34" s="262"/>
      <c r="H34" s="262"/>
      <c r="I34" s="263"/>
    </row>
    <row r="35" spans="1:9" ht="56.25" customHeight="1">
      <c r="A35" s="169"/>
      <c r="B35" s="170" t="s">
        <v>135</v>
      </c>
      <c r="C35" s="171" t="s">
        <v>79</v>
      </c>
      <c r="D35" s="170" t="s">
        <v>86</v>
      </c>
      <c r="E35" s="262" t="s">
        <v>182</v>
      </c>
      <c r="F35" s="262"/>
      <c r="G35" s="262"/>
      <c r="H35" s="262"/>
      <c r="I35" s="263"/>
    </row>
    <row r="36" spans="1:9" ht="84.6" customHeight="1">
      <c r="A36" s="169"/>
      <c r="B36" s="170" t="s">
        <v>150</v>
      </c>
      <c r="C36" s="170" t="s">
        <v>22</v>
      </c>
      <c r="D36" s="170" t="str">
        <f>$D$21</f>
        <v>cfm or l/s</v>
      </c>
      <c r="E36" s="262" t="s">
        <v>185</v>
      </c>
      <c r="F36" s="262"/>
      <c r="G36" s="262"/>
      <c r="H36" s="262"/>
      <c r="I36" s="263"/>
    </row>
    <row r="37" spans="1:9" ht="125.45" customHeight="1">
      <c r="A37" s="173"/>
      <c r="B37" s="170" t="s">
        <v>183</v>
      </c>
      <c r="C37" s="170"/>
      <c r="D37" s="170"/>
      <c r="E37" s="262" t="s">
        <v>184</v>
      </c>
      <c r="F37" s="262"/>
      <c r="G37" s="262"/>
      <c r="H37" s="262"/>
      <c r="I37" s="263"/>
    </row>
    <row r="38" spans="1:9" ht="243.75" customHeight="1">
      <c r="A38" s="173"/>
      <c r="B38" s="170" t="s">
        <v>4</v>
      </c>
      <c r="C38" s="171" t="s">
        <v>74</v>
      </c>
      <c r="D38" s="170"/>
      <c r="E38" s="261" t="s">
        <v>328</v>
      </c>
      <c r="F38" s="262"/>
      <c r="G38" s="262"/>
      <c r="H38" s="262"/>
      <c r="I38" s="263"/>
    </row>
    <row r="39" spans="1:9">
      <c r="A39" s="330"/>
      <c r="B39" s="331"/>
      <c r="C39" s="331"/>
      <c r="D39" s="331"/>
      <c r="E39" s="331"/>
      <c r="F39" s="331"/>
      <c r="G39" s="331"/>
      <c r="H39" s="331"/>
      <c r="I39" s="332"/>
    </row>
    <row r="40" spans="1:9">
      <c r="A40" s="330" t="s">
        <v>129</v>
      </c>
      <c r="B40" s="331"/>
      <c r="C40" s="331"/>
      <c r="D40" s="331"/>
      <c r="E40" s="331"/>
      <c r="F40" s="331"/>
      <c r="G40" s="331"/>
      <c r="H40" s="331"/>
      <c r="I40" s="332"/>
    </row>
    <row r="41" spans="1:9" ht="259.5" customHeight="1">
      <c r="A41" s="169"/>
      <c r="B41" s="183" t="s">
        <v>153</v>
      </c>
      <c r="C41" s="170" t="s">
        <v>319</v>
      </c>
      <c r="D41" s="170" t="s">
        <v>88</v>
      </c>
      <c r="E41" s="261" t="s">
        <v>335</v>
      </c>
      <c r="F41" s="262"/>
      <c r="G41" s="262"/>
      <c r="H41" s="262"/>
      <c r="I41" s="263"/>
    </row>
    <row r="42" spans="1:9" ht="68.25" customHeight="1">
      <c r="A42" s="173"/>
      <c r="B42" s="183" t="s">
        <v>138</v>
      </c>
      <c r="C42" s="171" t="s">
        <v>75</v>
      </c>
      <c r="D42" s="172"/>
      <c r="E42" s="261" t="s">
        <v>329</v>
      </c>
      <c r="F42" s="262"/>
      <c r="G42" s="262"/>
      <c r="H42" s="262"/>
      <c r="I42" s="263"/>
    </row>
    <row r="43" spans="1:9" ht="146.25" customHeight="1" thickBot="1">
      <c r="A43" s="174"/>
      <c r="B43" s="184" t="s">
        <v>151</v>
      </c>
      <c r="C43" s="185" t="s">
        <v>55</v>
      </c>
      <c r="D43" s="176"/>
      <c r="E43" s="270" t="s">
        <v>302</v>
      </c>
      <c r="F43" s="270"/>
      <c r="G43" s="270"/>
      <c r="H43" s="270"/>
      <c r="I43" s="271"/>
    </row>
    <row r="44" spans="1:9" ht="26.45" hidden="1" customHeight="1">
      <c r="A44" s="12" t="s">
        <v>139</v>
      </c>
      <c r="B44" s="129"/>
      <c r="C44" s="10"/>
      <c r="D44" s="132"/>
      <c r="E44" s="266" t="s">
        <v>17</v>
      </c>
      <c r="F44" s="266"/>
      <c r="G44" s="266"/>
      <c r="H44" s="266"/>
      <c r="I44" s="267"/>
    </row>
    <row r="45" spans="1:9" ht="27.6" hidden="1" customHeight="1">
      <c r="A45" s="12"/>
      <c r="B45" s="129" t="s">
        <v>142</v>
      </c>
      <c r="C45" s="129" t="s">
        <v>143</v>
      </c>
      <c r="D45" s="130" t="str">
        <f>IF(C16="IP","Deg F",IF(C16="SI","Deg C",""))</f>
        <v/>
      </c>
      <c r="E45" s="266" t="s">
        <v>18</v>
      </c>
      <c r="F45" s="266"/>
      <c r="G45" s="266"/>
      <c r="H45" s="266"/>
      <c r="I45" s="267"/>
    </row>
    <row r="46" spans="1:9" ht="39.6" hidden="1" customHeight="1">
      <c r="A46" s="13"/>
      <c r="B46" s="129" t="s">
        <v>114</v>
      </c>
      <c r="C46" s="129" t="s">
        <v>115</v>
      </c>
      <c r="D46" s="130" t="str">
        <f>D$45</f>
        <v/>
      </c>
      <c r="E46" s="266" t="s">
        <v>19</v>
      </c>
      <c r="F46" s="266"/>
      <c r="G46" s="266"/>
      <c r="H46" s="266"/>
      <c r="I46" s="267"/>
    </row>
    <row r="47" spans="1:9" hidden="1">
      <c r="A47" s="13"/>
      <c r="B47" s="129" t="s">
        <v>116</v>
      </c>
      <c r="C47" s="129" t="s">
        <v>117</v>
      </c>
      <c r="D47" s="130" t="str">
        <f>D$45</f>
        <v/>
      </c>
      <c r="E47" s="266" t="s">
        <v>20</v>
      </c>
      <c r="F47" s="266"/>
      <c r="G47" s="266"/>
      <c r="H47" s="266"/>
      <c r="I47" s="267"/>
    </row>
    <row r="48" spans="1:9" hidden="1">
      <c r="A48" s="13"/>
      <c r="B48" s="129" t="s">
        <v>118</v>
      </c>
      <c r="C48" s="129" t="s">
        <v>119</v>
      </c>
      <c r="D48" s="130" t="str">
        <f>D$45</f>
        <v/>
      </c>
      <c r="E48" s="266" t="s">
        <v>21</v>
      </c>
      <c r="F48" s="266"/>
      <c r="G48" s="266"/>
      <c r="H48" s="266"/>
      <c r="I48" s="267"/>
    </row>
    <row r="49" spans="1:9" ht="13.5" hidden="1" thickBot="1">
      <c r="A49" s="18"/>
      <c r="B49" s="126" t="s">
        <v>120</v>
      </c>
      <c r="C49" s="126" t="s">
        <v>121</v>
      </c>
      <c r="D49" s="131" t="str">
        <f>D$45</f>
        <v/>
      </c>
      <c r="E49" s="268" t="s">
        <v>23</v>
      </c>
      <c r="F49" s="268"/>
      <c r="G49" s="268"/>
      <c r="H49" s="268"/>
      <c r="I49" s="269"/>
    </row>
    <row r="50" spans="1:9" ht="13.5" thickBot="1">
      <c r="A50" s="272"/>
      <c r="B50" s="273"/>
      <c r="C50" s="273"/>
      <c r="D50" s="273"/>
      <c r="E50" s="273"/>
      <c r="F50" s="273"/>
      <c r="G50" s="273"/>
      <c r="H50" s="273"/>
      <c r="I50" s="274"/>
    </row>
    <row r="51" spans="1:9">
      <c r="A51" s="272" t="s">
        <v>145</v>
      </c>
      <c r="B51" s="273"/>
      <c r="C51" s="273"/>
      <c r="D51" s="273"/>
      <c r="E51" s="273"/>
      <c r="F51" s="273"/>
      <c r="G51" s="273"/>
      <c r="H51" s="273"/>
      <c r="I51" s="274"/>
    </row>
    <row r="52" spans="1:9">
      <c r="A52" s="186"/>
      <c r="B52" s="170" t="s">
        <v>8</v>
      </c>
      <c r="C52" s="171" t="s">
        <v>58</v>
      </c>
      <c r="D52" s="172"/>
      <c r="E52" s="262" t="s">
        <v>16</v>
      </c>
      <c r="F52" s="262"/>
      <c r="G52" s="262"/>
      <c r="H52" s="262"/>
      <c r="I52" s="263"/>
    </row>
    <row r="53" spans="1:9" ht="25.5">
      <c r="A53" s="186"/>
      <c r="B53" s="170" t="s">
        <v>146</v>
      </c>
      <c r="C53" s="171" t="s">
        <v>50</v>
      </c>
      <c r="D53" s="172" t="str">
        <f>D36</f>
        <v>cfm or l/s</v>
      </c>
      <c r="E53" s="264" t="s">
        <v>24</v>
      </c>
      <c r="F53" s="264"/>
      <c r="G53" s="264"/>
      <c r="H53" s="264"/>
      <c r="I53" s="265"/>
    </row>
    <row r="54" spans="1:9" ht="25.5">
      <c r="A54" s="173"/>
      <c r="B54" s="170" t="s">
        <v>156</v>
      </c>
      <c r="C54" s="170" t="s">
        <v>111</v>
      </c>
      <c r="D54" s="172" t="str">
        <f>D22</f>
        <v>cfm/sf or l/s/sm</v>
      </c>
      <c r="E54" s="264" t="s">
        <v>0</v>
      </c>
      <c r="F54" s="264"/>
      <c r="G54" s="264"/>
      <c r="H54" s="264"/>
      <c r="I54" s="265"/>
    </row>
    <row r="55" spans="1:9" ht="13.5" thickBot="1">
      <c r="A55" s="174"/>
      <c r="B55" s="175" t="s">
        <v>147</v>
      </c>
      <c r="C55" s="175" t="s">
        <v>111</v>
      </c>
      <c r="D55" s="193" t="s">
        <v>88</v>
      </c>
      <c r="E55" s="328" t="s">
        <v>1</v>
      </c>
      <c r="F55" s="328"/>
      <c r="G55" s="328"/>
      <c r="H55" s="328"/>
      <c r="I55" s="329"/>
    </row>
    <row r="56" spans="1:9" ht="13.5" thickBot="1"/>
    <row r="57" spans="1:9">
      <c r="A57" s="322" t="s">
        <v>300</v>
      </c>
      <c r="B57" s="323"/>
      <c r="C57" s="323"/>
      <c r="D57" s="323"/>
      <c r="E57" s="323"/>
      <c r="F57" s="323"/>
      <c r="G57" s="323"/>
      <c r="H57" s="323"/>
      <c r="I57" s="324"/>
    </row>
    <row r="58" spans="1:9" ht="13.5" thickBot="1">
      <c r="A58" s="325"/>
      <c r="B58" s="326"/>
      <c r="C58" s="326"/>
      <c r="D58" s="326"/>
      <c r="E58" s="326"/>
      <c r="F58" s="326"/>
      <c r="G58" s="326"/>
      <c r="H58" s="326"/>
      <c r="I58" s="327"/>
    </row>
  </sheetData>
  <sheetProtection password="8C0F" sheet="1" objects="1" scenarios="1"/>
  <mergeCells count="60">
    <mergeCell ref="A1:H1"/>
    <mergeCell ref="A2:I2"/>
    <mergeCell ref="A4:I4"/>
    <mergeCell ref="A6:I6"/>
    <mergeCell ref="A8:I8"/>
    <mergeCell ref="A5:I5"/>
    <mergeCell ref="A3:I3"/>
    <mergeCell ref="A30:I30"/>
    <mergeCell ref="E31:I31"/>
    <mergeCell ref="A57:I58"/>
    <mergeCell ref="E54:I54"/>
    <mergeCell ref="E55:I55"/>
    <mergeCell ref="A40:I40"/>
    <mergeCell ref="A39:I39"/>
    <mergeCell ref="A50:I50"/>
    <mergeCell ref="E32:I32"/>
    <mergeCell ref="E33:I33"/>
    <mergeCell ref="E34:I34"/>
    <mergeCell ref="E46:I46"/>
    <mergeCell ref="E35:I35"/>
    <mergeCell ref="E41:I41"/>
    <mergeCell ref="E37:I37"/>
    <mergeCell ref="E36:I36"/>
    <mergeCell ref="E23:I23"/>
    <mergeCell ref="E21:I21"/>
    <mergeCell ref="A29:I29"/>
    <mergeCell ref="A15:B15"/>
    <mergeCell ref="A16:B16"/>
    <mergeCell ref="A17:I17"/>
    <mergeCell ref="C15:I15"/>
    <mergeCell ref="C16:I16"/>
    <mergeCell ref="A27:I27"/>
    <mergeCell ref="E22:I22"/>
    <mergeCell ref="E18:I18"/>
    <mergeCell ref="A18:B18"/>
    <mergeCell ref="E24:I24"/>
    <mergeCell ref="E25:I25"/>
    <mergeCell ref="E26:I26"/>
    <mergeCell ref="C13:I13"/>
    <mergeCell ref="E19:I19"/>
    <mergeCell ref="E20:I20"/>
    <mergeCell ref="A7:I7"/>
    <mergeCell ref="A11:I11"/>
    <mergeCell ref="C14:I14"/>
    <mergeCell ref="A9:I9"/>
    <mergeCell ref="A13:B13"/>
    <mergeCell ref="A14:B14"/>
    <mergeCell ref="A12:I12"/>
    <mergeCell ref="A10:I10"/>
    <mergeCell ref="E38:I38"/>
    <mergeCell ref="E52:I52"/>
    <mergeCell ref="E53:I53"/>
    <mergeCell ref="E47:I47"/>
    <mergeCell ref="E42:I42"/>
    <mergeCell ref="E49:I49"/>
    <mergeCell ref="E43:I43"/>
    <mergeCell ref="E44:I44"/>
    <mergeCell ref="E45:I45"/>
    <mergeCell ref="E48:I48"/>
    <mergeCell ref="A51:I51"/>
  </mergeCells>
  <phoneticPr fontId="3" type="noConversion"/>
  <conditionalFormatting sqref="C43">
    <cfRule type="expression" dxfId="75" priority="2" stopIfTrue="1">
      <formula>COUNTIF(J37:L37,"FT")+COUNTIF(J37:L37,"DFDD")+COUNTIF(J37:L37,"TF")&gt;0</formula>
    </cfRule>
  </conditionalFormatting>
  <conditionalFormatting sqref="A44">
    <cfRule type="expression" dxfId="74" priority="5" stopIfTrue="1">
      <formula>$I$25="No"</formula>
    </cfRule>
  </conditionalFormatting>
  <dataValidations disablePrompts="1" count="2">
    <dataValidation showInputMessage="1" showErrorMessage="1" sqref="C16"/>
    <dataValidation type="list" showInputMessage="1" showErrorMessage="1" sqref="I25">
      <formula1>$D$166:$D$167</formula1>
    </dataValidation>
  </dataValidations>
  <pageMargins left="0.75" right="0.75" top="1" bottom="1" header="0.5" footer="0.5"/>
  <pageSetup orientation="portrait"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Areport2"/>
  <dimension ref="A1:Z618"/>
  <sheetViews>
    <sheetView tabSelected="1" zoomScale="85" zoomScaleNormal="85" workbookViewId="0">
      <pane xSplit="10" ySplit="4" topLeftCell="K15" activePane="bottomRight" state="frozen"/>
      <selection pane="topRight" activeCell="J1" sqref="J1"/>
      <selection pane="bottomLeft" activeCell="A5" sqref="A5"/>
      <selection pane="bottomRight" activeCell="K57" sqref="K57"/>
    </sheetView>
  </sheetViews>
  <sheetFormatPr defaultColWidth="8.85546875" defaultRowHeight="12.75"/>
  <cols>
    <col min="1" max="1" width="8.85546875" style="16" customWidth="1"/>
    <col min="2" max="2" width="51.7109375" style="253" customWidth="1"/>
    <col min="3" max="3" width="7" style="254" customWidth="1"/>
    <col min="4" max="4" width="6.85546875" style="254" customWidth="1"/>
    <col min="5" max="5" width="2.85546875" style="16" customWidth="1"/>
    <col min="6" max="6" width="11.140625" style="16" customWidth="1"/>
    <col min="7" max="7" width="3" style="16" customWidth="1"/>
    <col min="8" max="8" width="11.28515625" style="16" customWidth="1"/>
    <col min="9" max="9" width="3" style="16" customWidth="1"/>
    <col min="10" max="11" width="8.85546875" style="16" customWidth="1"/>
    <col min="12" max="15" width="12.85546875" style="16" customWidth="1"/>
    <col min="16" max="16" width="12.7109375" style="16" customWidth="1"/>
    <col min="17" max="17" width="9.5703125" style="16" customWidth="1"/>
    <col min="18" max="18" width="11.85546875" style="16" bestFit="1" customWidth="1"/>
    <col min="19" max="24" width="12.7109375" style="16" customWidth="1"/>
    <col min="25" max="16384" width="8.85546875" style="16"/>
  </cols>
  <sheetData>
    <row r="1" spans="1:23" s="24" customFormat="1">
      <c r="A1" s="20" t="s">
        <v>127</v>
      </c>
      <c r="B1" s="21"/>
      <c r="C1" s="342" t="s">
        <v>336</v>
      </c>
      <c r="D1" s="342"/>
      <c r="E1" s="342"/>
      <c r="F1" s="342"/>
      <c r="G1" s="342"/>
      <c r="H1" s="342"/>
      <c r="I1" s="342"/>
      <c r="J1" s="342"/>
      <c r="K1" s="202"/>
      <c r="L1" s="207"/>
      <c r="M1" s="207"/>
      <c r="N1" s="207"/>
      <c r="O1" s="207"/>
      <c r="P1" s="22"/>
      <c r="Q1" s="23"/>
    </row>
    <row r="2" spans="1:23" s="24" customFormat="1">
      <c r="A2" s="25" t="s">
        <v>128</v>
      </c>
      <c r="B2" s="26"/>
      <c r="C2" s="342" t="s">
        <v>640</v>
      </c>
      <c r="D2" s="342"/>
      <c r="E2" s="342"/>
      <c r="F2" s="342"/>
      <c r="G2" s="342"/>
      <c r="H2" s="342"/>
      <c r="I2" s="342"/>
      <c r="J2" s="342"/>
      <c r="K2" s="203"/>
      <c r="L2" s="16"/>
      <c r="M2" s="16"/>
      <c r="N2" s="16"/>
      <c r="O2" s="16"/>
      <c r="P2" s="37"/>
      <c r="Q2" s="36"/>
    </row>
    <row r="3" spans="1:23" s="24" customFormat="1">
      <c r="A3" s="25" t="s">
        <v>126</v>
      </c>
      <c r="B3" s="26"/>
      <c r="C3" s="342"/>
      <c r="D3" s="342"/>
      <c r="E3" s="342"/>
      <c r="F3" s="342"/>
      <c r="G3" s="342"/>
      <c r="H3" s="342"/>
      <c r="I3" s="342"/>
      <c r="J3" s="342"/>
      <c r="K3" s="203"/>
      <c r="L3" s="33"/>
      <c r="M3" s="33"/>
      <c r="N3" s="33"/>
      <c r="O3" s="33"/>
      <c r="P3" s="37"/>
      <c r="Q3" s="36"/>
    </row>
    <row r="4" spans="1:23" s="208" customFormat="1" ht="13.5" thickBot="1">
      <c r="A4" s="27" t="s">
        <v>133</v>
      </c>
      <c r="B4" s="28"/>
      <c r="C4" s="343" t="s">
        <v>152</v>
      </c>
      <c r="D4" s="343"/>
      <c r="E4" s="343"/>
      <c r="F4" s="343"/>
      <c r="G4" s="343"/>
      <c r="H4" s="343"/>
      <c r="I4" s="343"/>
      <c r="J4" s="343"/>
      <c r="K4" s="204"/>
      <c r="P4" s="209"/>
      <c r="Q4" s="210"/>
    </row>
    <row r="5" spans="1:23" s="24" customFormat="1">
      <c r="A5" s="29"/>
      <c r="B5" s="30"/>
      <c r="C5" s="31"/>
      <c r="D5" s="32"/>
      <c r="E5" s="33"/>
      <c r="F5" s="200" t="s">
        <v>317</v>
      </c>
      <c r="G5" s="33"/>
      <c r="H5" s="34"/>
      <c r="I5" s="35"/>
      <c r="J5" s="200" t="s">
        <v>318</v>
      </c>
      <c r="K5" s="200"/>
      <c r="L5" s="33"/>
      <c r="M5" s="33"/>
      <c r="N5" s="33"/>
      <c r="O5" s="33"/>
      <c r="P5" s="37"/>
      <c r="Q5" s="36"/>
    </row>
    <row r="6" spans="1:23" s="24" customFormat="1">
      <c r="A6" s="29" t="s">
        <v>83</v>
      </c>
      <c r="B6" s="38"/>
      <c r="C6" s="163" t="s">
        <v>124</v>
      </c>
      <c r="D6" s="163" t="s">
        <v>125</v>
      </c>
      <c r="F6" s="39" t="s">
        <v>82</v>
      </c>
      <c r="G6" s="33"/>
      <c r="H6" s="163" t="s">
        <v>306</v>
      </c>
      <c r="I6" s="33"/>
      <c r="J6" s="39" t="s">
        <v>82</v>
      </c>
      <c r="K6" s="205"/>
      <c r="L6" s="33"/>
      <c r="M6" s="33"/>
      <c r="N6" s="33"/>
      <c r="O6" s="33"/>
      <c r="P6" s="40" t="s">
        <v>176</v>
      </c>
      <c r="Q6" s="36"/>
      <c r="T6" s="24" t="s">
        <v>307</v>
      </c>
      <c r="V6" s="123">
        <v>0</v>
      </c>
      <c r="W6" s="24" t="s">
        <v>232</v>
      </c>
    </row>
    <row r="7" spans="1:23" s="24" customFormat="1">
      <c r="A7" s="41"/>
      <c r="B7" s="26" t="s">
        <v>84</v>
      </c>
      <c r="C7" s="32" t="s">
        <v>85</v>
      </c>
      <c r="D7" s="32" t="str">
        <f>IF($C$4="IP","sf",IF($C$4="SI","sm",""))</f>
        <v>sf</v>
      </c>
      <c r="F7" s="121">
        <f>P18</f>
        <v>3380</v>
      </c>
      <c r="G7" s="33"/>
      <c r="H7" s="33"/>
      <c r="I7" s="35"/>
      <c r="L7" s="212" t="s">
        <v>494</v>
      </c>
      <c r="M7" s="212"/>
      <c r="N7" s="212"/>
      <c r="O7" s="212"/>
      <c r="P7" s="199" t="s">
        <v>199</v>
      </c>
      <c r="Q7" s="36"/>
      <c r="T7" s="151">
        <f>SUM($L$18:$L$18)</f>
        <v>830</v>
      </c>
      <c r="V7" s="122">
        <f>IF(ISTEXT(V6),0,VALUE(V6))</f>
        <v>0</v>
      </c>
      <c r="W7" s="24" t="s">
        <v>232</v>
      </c>
    </row>
    <row r="8" spans="1:23" s="24" customFormat="1">
      <c r="A8" s="41"/>
      <c r="B8" s="26" t="s">
        <v>304</v>
      </c>
      <c r="C8" s="135" t="s">
        <v>65</v>
      </c>
      <c r="D8" s="32" t="s">
        <v>86</v>
      </c>
      <c r="F8" s="121">
        <v>10</v>
      </c>
      <c r="G8" s="162" t="s">
        <v>305</v>
      </c>
      <c r="H8" s="124">
        <v>1</v>
      </c>
      <c r="I8" s="35"/>
      <c r="J8" s="161">
        <f>IF(Ps=P19,Ps*Population_Diversity,Ps)</f>
        <v>10</v>
      </c>
      <c r="K8" s="161"/>
      <c r="L8" s="212" t="s">
        <v>494</v>
      </c>
      <c r="M8" s="212"/>
      <c r="N8" s="212"/>
      <c r="O8" s="212"/>
      <c r="P8" s="42">
        <f>J8/MAX(F7,0.01)*IF($C$4="IP",1000,100)</f>
        <v>2.9585798816568047</v>
      </c>
      <c r="Q8" s="36" t="str">
        <f>IF($C$4="IP","P/1000 sf",IF($C$4="SI","P/100 sm",""))</f>
        <v>P/1000 sf</v>
      </c>
      <c r="T8" s="24">
        <f>SUM($L$19:$L$19)</f>
        <v>26</v>
      </c>
    </row>
    <row r="9" spans="1:23" s="24" customFormat="1" ht="12" customHeight="1">
      <c r="A9" s="41"/>
      <c r="B9" s="26" t="s">
        <v>87</v>
      </c>
      <c r="C9" s="32" t="s">
        <v>178</v>
      </c>
      <c r="D9" s="32" t="str">
        <f>IF($C$4="IP","cfm",IF($C$4="SI","l/s",""))</f>
        <v>cfm</v>
      </c>
      <c r="F9" s="121">
        <f>P20</f>
        <v>3038.5207999999998</v>
      </c>
      <c r="H9" s="5">
        <v>1</v>
      </c>
      <c r="I9" s="35"/>
      <c r="J9" s="161">
        <f>IF(Vpsd=P20,Vpsd*H9,Vpsd)</f>
        <v>3038.5207999999998</v>
      </c>
      <c r="K9" s="161"/>
      <c r="L9" s="212" t="s">
        <v>494</v>
      </c>
      <c r="M9" s="212"/>
      <c r="N9" s="212"/>
      <c r="O9" s="212"/>
      <c r="P9" s="43">
        <f>J9/MAX(F7,0.01)</f>
        <v>0.89897065088757389</v>
      </c>
      <c r="Q9" s="36" t="str">
        <f>IF($C$4="IP","cfm/sf",IF($C$4="SI","l/s/sm",""))</f>
        <v>cfm/sf</v>
      </c>
      <c r="T9" s="151">
        <f>SUM(L20:L20)</f>
        <v>747.13019999999995</v>
      </c>
    </row>
    <row r="10" spans="1:23" s="24" customFormat="1" ht="12" customHeight="1">
      <c r="A10" s="29"/>
      <c r="B10" s="26" t="s">
        <v>130</v>
      </c>
      <c r="C10" s="32" t="s">
        <v>89</v>
      </c>
      <c r="D10" s="32" t="str">
        <f>IF($C$4="IP","cfm/sf",IF($C$4="SI","l/s/sm",""))</f>
        <v>cfm/sf</v>
      </c>
      <c r="E10" s="33"/>
      <c r="F10" s="7">
        <f>SUMPRODUCT($L$18:$L$18,$L$47:$L$47)/MAX(SUM($L$18:$L$18),0.01)</f>
        <v>0.18</v>
      </c>
      <c r="G10" s="33"/>
      <c r="H10" s="6"/>
      <c r="I10" s="35"/>
      <c r="L10" s="212" t="s">
        <v>494</v>
      </c>
      <c r="M10" s="212"/>
      <c r="N10" s="212"/>
      <c r="O10" s="212"/>
      <c r="P10" s="43">
        <f>SUMPRODUCT(L18:L18,L47:L47)/MAX(SUM(L18:L18),0.01)</f>
        <v>0.18</v>
      </c>
      <c r="Q10" s="36" t="str">
        <f>"ave "&amp;IF($C$4="IP","cfm/sf",IF($C$4="SI","l/s/sm",""))</f>
        <v>ave cfm/sf</v>
      </c>
      <c r="T10" s="24">
        <f>SUMPRODUCT($L$18:$L$18,$L$47:$L$47)/MAX(SUM($L$18:$L$18),0.01)</f>
        <v>0.18</v>
      </c>
    </row>
    <row r="11" spans="1:23" s="24" customFormat="1" ht="12" customHeight="1">
      <c r="A11" s="29"/>
      <c r="B11" s="26" t="s">
        <v>131</v>
      </c>
      <c r="C11" s="32" t="s">
        <v>90</v>
      </c>
      <c r="D11" s="32" t="str">
        <f>IF($C$4="IP","cfm/p",IF($C$4="SI","l/s/p",""))</f>
        <v>cfm/p</v>
      </c>
      <c r="E11" s="33"/>
      <c r="F11" s="11">
        <f>SUMPRODUCT($L$19:$L$19,$L$48:$L$48)/MAX(SUM($L$19:$L$19),0.01)</f>
        <v>7.5</v>
      </c>
      <c r="G11" s="33"/>
      <c r="H11" s="6"/>
      <c r="I11" s="35"/>
      <c r="L11" s="212" t="s">
        <v>494</v>
      </c>
      <c r="M11" s="212"/>
      <c r="N11" s="212"/>
      <c r="O11" s="212"/>
      <c r="P11" s="43">
        <f>SUMPRODUCT(L19:L19,L48:L48)/MAX(SUM(L19:L19),0.01)</f>
        <v>7.5</v>
      </c>
      <c r="Q11" s="213" t="str">
        <f>"ave "&amp;IF($C$4="IP","cfm/p",IF($C$4="SI","l/s/p",""))</f>
        <v>ave cfm/p</v>
      </c>
      <c r="T11" s="214">
        <f>SUMPRODUCT($L$19:$L$19,$L$48:$L$48)/MAX(SUM($L$19:$L$19),0.01)</f>
        <v>7.5</v>
      </c>
    </row>
    <row r="12" spans="1:23" s="24" customFormat="1" ht="12" customHeight="1">
      <c r="A12" s="29"/>
      <c r="B12" s="26" t="s">
        <v>303</v>
      </c>
      <c r="C12" s="32"/>
      <c r="D12" s="32"/>
      <c r="E12" s="33"/>
      <c r="F12" s="150">
        <v>0</v>
      </c>
      <c r="G12" s="33"/>
      <c r="H12" s="6"/>
      <c r="I12" s="35"/>
      <c r="L12" s="211"/>
      <c r="M12" s="211"/>
      <c r="N12" s="211"/>
      <c r="O12" s="211"/>
      <c r="P12" s="149"/>
      <c r="Q12" s="213"/>
    </row>
    <row r="13" spans="1:23" s="24" customFormat="1" ht="12" customHeight="1">
      <c r="A13" s="44"/>
      <c r="B13" s="215" t="s">
        <v>144</v>
      </c>
      <c r="C13" s="216"/>
      <c r="D13" s="216" t="s">
        <v>141</v>
      </c>
      <c r="E13" s="217"/>
      <c r="F13" s="217"/>
      <c r="G13" s="217"/>
      <c r="H13" s="216"/>
      <c r="I13" s="218"/>
      <c r="J13" s="5" t="s">
        <v>137</v>
      </c>
      <c r="K13" s="206"/>
      <c r="L13" s="219"/>
      <c r="M13" s="219"/>
      <c r="N13" s="219"/>
      <c r="O13" s="219"/>
      <c r="P13" s="45"/>
      <c r="Q13" s="54"/>
    </row>
    <row r="14" spans="1:23" s="24" customFormat="1" ht="12" customHeight="1">
      <c r="A14" s="41" t="s">
        <v>91</v>
      </c>
      <c r="B14" s="26"/>
      <c r="C14" s="32"/>
      <c r="D14" s="32"/>
      <c r="E14" s="33"/>
      <c r="F14" s="33"/>
      <c r="G14" s="33"/>
      <c r="H14" s="6"/>
      <c r="I14" s="35"/>
      <c r="J14" s="46"/>
      <c r="K14" s="46"/>
      <c r="L14" s="260" t="s">
        <v>495</v>
      </c>
      <c r="M14" s="345"/>
      <c r="N14" s="345"/>
      <c r="O14" s="345"/>
      <c r="P14" s="37"/>
      <c r="Q14" s="36"/>
    </row>
    <row r="15" spans="1:23" s="24" customFormat="1" ht="12" customHeight="1">
      <c r="A15" s="37"/>
      <c r="B15" s="47" t="s">
        <v>134</v>
      </c>
      <c r="C15" s="48" t="s">
        <v>92</v>
      </c>
      <c r="D15" s="32"/>
      <c r="E15" s="33"/>
      <c r="F15" s="34"/>
      <c r="G15" s="34"/>
      <c r="H15" s="77"/>
      <c r="I15" s="35"/>
      <c r="J15" s="46"/>
      <c r="K15" s="8" t="s">
        <v>589</v>
      </c>
      <c r="L15" s="8" t="s">
        <v>632</v>
      </c>
      <c r="M15" s="8" t="s">
        <v>632</v>
      </c>
      <c r="N15" s="8" t="s">
        <v>632</v>
      </c>
      <c r="O15" s="8" t="s">
        <v>632</v>
      </c>
      <c r="P15" s="40" t="s">
        <v>497</v>
      </c>
      <c r="Q15" s="36"/>
    </row>
    <row r="16" spans="1:23" s="24" customFormat="1" ht="12" customHeight="1">
      <c r="A16" s="37"/>
      <c r="B16" s="47" t="s">
        <v>154</v>
      </c>
      <c r="C16" s="48"/>
      <c r="D16" s="32"/>
      <c r="E16" s="33"/>
      <c r="F16" s="34"/>
      <c r="G16" s="34"/>
      <c r="H16" s="77"/>
      <c r="I16" s="35"/>
      <c r="J16" s="46"/>
      <c r="K16" s="8" t="s">
        <v>484</v>
      </c>
      <c r="L16" s="8" t="s">
        <v>484</v>
      </c>
      <c r="M16" s="8" t="s">
        <v>484</v>
      </c>
      <c r="N16" s="8" t="s">
        <v>484</v>
      </c>
      <c r="O16" s="8" t="s">
        <v>484</v>
      </c>
      <c r="P16" s="37"/>
      <c r="Q16" s="36"/>
      <c r="W16"/>
    </row>
    <row r="17" spans="1:26" s="24" customFormat="1" ht="12" customHeight="1">
      <c r="A17" s="41"/>
      <c r="B17" s="47" t="s">
        <v>5</v>
      </c>
      <c r="C17" s="48"/>
      <c r="D17" s="32" t="s">
        <v>6</v>
      </c>
      <c r="E17" s="33"/>
      <c r="F17" s="34"/>
      <c r="G17" s="34"/>
      <c r="H17" s="77"/>
      <c r="I17" s="35"/>
      <c r="J17" s="46"/>
      <c r="K17" s="19" t="s">
        <v>251</v>
      </c>
      <c r="L17" s="19" t="s">
        <v>251</v>
      </c>
      <c r="M17" s="19" t="s">
        <v>251</v>
      </c>
      <c r="N17" s="19" t="s">
        <v>251</v>
      </c>
      <c r="O17" s="19" t="s">
        <v>251</v>
      </c>
      <c r="P17" s="37"/>
      <c r="Q17" s="36"/>
      <c r="W17"/>
      <c r="Z17"/>
    </row>
    <row r="18" spans="1:26" s="24" customFormat="1" ht="12" customHeight="1">
      <c r="A18" s="41"/>
      <c r="B18" s="26" t="s">
        <v>93</v>
      </c>
      <c r="C18" s="135" t="s">
        <v>78</v>
      </c>
      <c r="D18" s="32" t="str">
        <f>$D$7</f>
        <v>sf</v>
      </c>
      <c r="E18" s="35"/>
      <c r="F18" s="34"/>
      <c r="G18" s="34"/>
      <c r="H18" s="77"/>
      <c r="I18" s="35"/>
      <c r="J18" s="220"/>
      <c r="K18" s="120">
        <v>60</v>
      </c>
      <c r="L18" s="120">
        <v>830</v>
      </c>
      <c r="M18" s="120">
        <v>830</v>
      </c>
      <c r="N18" s="120">
        <v>830</v>
      </c>
      <c r="O18" s="120">
        <v>830</v>
      </c>
      <c r="P18" s="152">
        <f>SUM(K18:O18)</f>
        <v>3380</v>
      </c>
      <c r="Q18" s="36" t="str">
        <f>"total "&amp;$D$7</f>
        <v>total sf</v>
      </c>
      <c r="W18"/>
    </row>
    <row r="19" spans="1:26" s="24" customFormat="1" ht="12" customHeight="1">
      <c r="A19" s="41"/>
      <c r="B19" s="26" t="s">
        <v>135</v>
      </c>
      <c r="C19" s="135" t="s">
        <v>79</v>
      </c>
      <c r="D19" s="32" t="s">
        <v>86</v>
      </c>
      <c r="E19" s="32" t="s">
        <v>165</v>
      </c>
      <c r="F19" s="34"/>
      <c r="G19" s="34"/>
      <c r="H19" s="77"/>
      <c r="I19" s="35"/>
      <c r="J19" s="220"/>
      <c r="K19" s="1">
        <v>1</v>
      </c>
      <c r="L19" s="1">
        <v>26</v>
      </c>
      <c r="M19" s="1">
        <v>26</v>
      </c>
      <c r="N19" s="1">
        <v>26</v>
      </c>
      <c r="O19" s="1">
        <v>26</v>
      </c>
      <c r="P19" s="37">
        <f>SUM(K19:O19)</f>
        <v>105</v>
      </c>
      <c r="Q19" s="36" t="s">
        <v>177</v>
      </c>
      <c r="W19"/>
    </row>
    <row r="20" spans="1:26" s="24" customFormat="1" ht="12" customHeight="1">
      <c r="A20" s="41"/>
      <c r="B20" s="221" t="s">
        <v>150</v>
      </c>
      <c r="C20" s="32" t="s">
        <v>22</v>
      </c>
      <c r="D20" s="32" t="str">
        <f>$D$9</f>
        <v>cfm</v>
      </c>
      <c r="E20" s="35"/>
      <c r="F20" s="34"/>
      <c r="G20" s="34"/>
      <c r="H20" s="77"/>
      <c r="I20" s="35"/>
      <c r="J20" s="220"/>
      <c r="K20" s="119">
        <v>50</v>
      </c>
      <c r="L20" s="119">
        <v>747.13019999999995</v>
      </c>
      <c r="M20" s="119">
        <v>747.13019999999995</v>
      </c>
      <c r="N20" s="119">
        <v>747.13019999999995</v>
      </c>
      <c r="O20" s="119">
        <v>747.13019999999995</v>
      </c>
      <c r="P20" s="152">
        <f>SUM(K20:O20)</f>
        <v>3038.5207999999998</v>
      </c>
      <c r="Q20" s="36" t="str">
        <f>"total "&amp;$D$9</f>
        <v>total cfm</v>
      </c>
      <c r="W20"/>
    </row>
    <row r="21" spans="1:26" s="24" customFormat="1" ht="12" customHeight="1">
      <c r="A21" s="29"/>
      <c r="B21" s="26" t="s">
        <v>183</v>
      </c>
      <c r="C21" s="49"/>
      <c r="D21" s="32" t="s">
        <v>7</v>
      </c>
      <c r="E21" s="34"/>
      <c r="F21" s="33"/>
      <c r="G21" s="33"/>
      <c r="H21" s="6"/>
      <c r="I21" s="35"/>
      <c r="J21" s="33"/>
      <c r="K21" s="148" t="s">
        <v>332</v>
      </c>
      <c r="L21" s="148" t="s">
        <v>332</v>
      </c>
      <c r="M21" s="148" t="s">
        <v>332</v>
      </c>
      <c r="N21" s="148" t="s">
        <v>332</v>
      </c>
      <c r="O21" s="148" t="s">
        <v>332</v>
      </c>
      <c r="P21" s="37"/>
      <c r="Q21" s="36"/>
      <c r="W21"/>
    </row>
    <row r="22" spans="1:26" s="24" customFormat="1" ht="12" customHeight="1">
      <c r="A22" s="50"/>
      <c r="B22" s="51" t="s">
        <v>4</v>
      </c>
      <c r="C22" s="136" t="s">
        <v>74</v>
      </c>
      <c r="D22" s="216"/>
      <c r="E22" s="52" t="str">
        <f>IF(COUNTIF(L21:L21,"Induction Terminal Unit")+COUNTIF(L21:L21,"Transfer Fan")&gt;COUNT(L22:L22),"Insert Value(s) in shaded fields","")</f>
        <v/>
      </c>
      <c r="F22" s="217"/>
      <c r="G22" s="217"/>
      <c r="H22" s="222"/>
      <c r="I22" s="218"/>
      <c r="J22" s="217"/>
      <c r="K22" s="133">
        <v>0.5</v>
      </c>
      <c r="L22" s="133">
        <f>AVERAGE(K22:K22)</f>
        <v>0.5</v>
      </c>
      <c r="M22" s="133">
        <f>AVERAGE(L22:L22)</f>
        <v>0.5</v>
      </c>
      <c r="N22" s="133">
        <f>AVERAGE(M22:M22)</f>
        <v>0.5</v>
      </c>
      <c r="O22" s="133">
        <f>AVERAGE(N22:N22)</f>
        <v>0.5</v>
      </c>
      <c r="P22" s="53">
        <f>AVERAGE(K22:O22)</f>
        <v>0.5</v>
      </c>
      <c r="Q22" s="54" t="s">
        <v>155</v>
      </c>
      <c r="W22"/>
    </row>
    <row r="23" spans="1:26" s="24" customFormat="1" ht="12" customHeight="1">
      <c r="A23" s="41" t="s">
        <v>129</v>
      </c>
      <c r="B23" s="55"/>
      <c r="C23" s="49"/>
      <c r="D23" s="32"/>
      <c r="E23" s="56"/>
      <c r="F23" s="57"/>
      <c r="G23" s="57"/>
      <c r="H23" s="77"/>
      <c r="I23" s="35"/>
      <c r="J23" s="33"/>
      <c r="K23" s="9"/>
      <c r="L23" s="9"/>
      <c r="M23" s="9"/>
      <c r="N23" s="9"/>
      <c r="O23" s="9"/>
      <c r="P23" s="37"/>
      <c r="Q23" s="36"/>
      <c r="W23"/>
    </row>
    <row r="24" spans="1:26" s="24" customFormat="1" ht="12" customHeight="1">
      <c r="A24" s="41"/>
      <c r="B24" s="221" t="s">
        <v>153</v>
      </c>
      <c r="C24" s="32" t="s">
        <v>319</v>
      </c>
      <c r="D24" s="32" t="s">
        <v>88</v>
      </c>
      <c r="E24" s="33"/>
      <c r="F24" s="33"/>
      <c r="G24" s="33"/>
      <c r="H24" s="32"/>
      <c r="I24" s="160" t="s">
        <v>320</v>
      </c>
      <c r="J24" s="5">
        <f>MIN(1,IF(R28=0,P24,R28))</f>
        <v>0.24588615618494367</v>
      </c>
      <c r="K24" s="5">
        <v>1</v>
      </c>
      <c r="L24" s="5">
        <f>AVERAGE(K24:K24)</f>
        <v>1</v>
      </c>
      <c r="M24" s="5">
        <f>AVERAGE(L24:L24)</f>
        <v>1</v>
      </c>
      <c r="N24" s="5">
        <f>AVERAGE(M24:M24)</f>
        <v>1</v>
      </c>
      <c r="O24" s="5">
        <f>AVERAGE(N24:N24)</f>
        <v>1</v>
      </c>
      <c r="P24" s="59">
        <f>AVERAGE(K24:O24)</f>
        <v>1</v>
      </c>
      <c r="Q24" s="36" t="s">
        <v>155</v>
      </c>
      <c r="W24"/>
    </row>
    <row r="25" spans="1:26" s="24" customFormat="1" ht="12" customHeight="1">
      <c r="A25" s="41"/>
      <c r="B25" s="26" t="s">
        <v>235</v>
      </c>
      <c r="C25" s="32"/>
      <c r="D25" s="32" t="s">
        <v>6</v>
      </c>
      <c r="E25" s="33"/>
      <c r="F25" s="33"/>
      <c r="G25" s="33"/>
      <c r="H25" s="32"/>
      <c r="I25" s="35"/>
      <c r="J25" t="s">
        <v>199</v>
      </c>
      <c r="K25" s="5" t="s">
        <v>211</v>
      </c>
      <c r="L25" s="5" t="s">
        <v>211</v>
      </c>
      <c r="M25" s="5" t="s">
        <v>211</v>
      </c>
      <c r="N25" s="5" t="s">
        <v>211</v>
      </c>
      <c r="O25" s="5" t="s">
        <v>211</v>
      </c>
      <c r="P25" s="59" t="s">
        <v>199</v>
      </c>
      <c r="Q25" s="36"/>
      <c r="W25"/>
    </row>
    <row r="26" spans="1:26" s="24" customFormat="1" ht="12" customHeight="1">
      <c r="A26" s="29"/>
      <c r="B26" s="26" t="s">
        <v>138</v>
      </c>
      <c r="C26" s="135" t="s">
        <v>75</v>
      </c>
      <c r="D26" s="32"/>
      <c r="E26" s="33"/>
      <c r="F26" s="33"/>
      <c r="G26" s="33"/>
      <c r="H26" s="6"/>
      <c r="I26" s="35"/>
      <c r="J26" s="33"/>
      <c r="K26" s="7">
        <f t="shared" ref="K26" si="0">IF(ISTEXT(K25),VLOOKUP(K25,ez_table,2),1)</f>
        <v>0.8</v>
      </c>
      <c r="L26" s="7">
        <f>AVERAGE(K26:K26)</f>
        <v>0.8</v>
      </c>
      <c r="M26" s="7">
        <f>AVERAGE(L26:L26)</f>
        <v>0.8</v>
      </c>
      <c r="N26" s="7">
        <f>AVERAGE(M26:M26)</f>
        <v>0.8</v>
      </c>
      <c r="O26" s="7">
        <f>AVERAGE(N26:N26)</f>
        <v>0.8</v>
      </c>
      <c r="P26" s="43">
        <f>AVERAGE(K26:O26)</f>
        <v>0.8</v>
      </c>
      <c r="Q26" s="36" t="s">
        <v>155</v>
      </c>
      <c r="R26" s="24" t="s">
        <v>195</v>
      </c>
      <c r="W26"/>
    </row>
    <row r="27" spans="1:26" s="24" customFormat="1" ht="12" customHeight="1">
      <c r="A27" s="50"/>
      <c r="B27" s="51" t="s">
        <v>151</v>
      </c>
      <c r="C27" s="136" t="s">
        <v>55</v>
      </c>
      <c r="D27" s="216"/>
      <c r="E27" s="52" t="str">
        <f>IF(COUNTIF(L21:L21,"Induction Terminal Unit")+COUNTIF(L21:L21,"Dual Fan Dual Duct")+COUNTIF(L21:L21,"Transfer Fan")&gt;COUNT(L27:L27),"Insert Value(s) in shaded fields","")</f>
        <v/>
      </c>
      <c r="F27" s="217"/>
      <c r="G27" s="217"/>
      <c r="H27" s="222"/>
      <c r="I27" s="218"/>
      <c r="J27" s="217"/>
      <c r="K27" s="133">
        <v>1</v>
      </c>
      <c r="L27" s="133">
        <f>AVERAGE(K27:K27)</f>
        <v>1</v>
      </c>
      <c r="M27" s="133">
        <f>AVERAGE(L27:L27)</f>
        <v>1</v>
      </c>
      <c r="N27" s="133">
        <f>AVERAGE(M27:M27)</f>
        <v>1</v>
      </c>
      <c r="O27" s="133">
        <f>AVERAGE(N27:N27)</f>
        <v>1</v>
      </c>
      <c r="P27" s="53">
        <f>AVERAGE(K27:O27)</f>
        <v>1</v>
      </c>
      <c r="Q27" s="54" t="s">
        <v>155</v>
      </c>
      <c r="R27" s="60">
        <f>SUMPRODUCT(L20:L20,L29:L29,L24:L24)</f>
        <v>747.13019999999995</v>
      </c>
      <c r="S27" s="24" t="s">
        <v>193</v>
      </c>
      <c r="W27"/>
    </row>
    <row r="28" spans="1:26" s="24" customFormat="1" ht="12" customHeight="1">
      <c r="A28" s="41" t="s">
        <v>139</v>
      </c>
      <c r="B28" s="221"/>
      <c r="C28" s="32"/>
      <c r="D28" s="32"/>
      <c r="E28" s="33"/>
      <c r="F28" s="33"/>
      <c r="G28" s="33"/>
      <c r="H28" s="32"/>
      <c r="I28" s="32"/>
      <c r="J28" s="32"/>
      <c r="K28" s="134">
        <f t="shared" ref="K28" si="1">IF(OR(K21="Induction Terminal Unit",K21="Transfer Fan"),K22,1)</f>
        <v>0.5</v>
      </c>
      <c r="L28" s="134">
        <f t="shared" ref="L28:M28" si="2">IF(OR(L21="Induction Terminal Unit",L21="Transfer Fan"),L22,1)</f>
        <v>0.5</v>
      </c>
      <c r="M28" s="134">
        <f t="shared" si="2"/>
        <v>0.5</v>
      </c>
      <c r="N28" s="134">
        <f t="shared" ref="N28:O28" si="3">IF(OR(N21="Induction Terminal Unit",N21="Transfer Fan"),N22,1)</f>
        <v>0.5</v>
      </c>
      <c r="O28" s="134">
        <f t="shared" si="3"/>
        <v>0.5</v>
      </c>
      <c r="P28" s="146" t="s">
        <v>298</v>
      </c>
      <c r="Q28" s="213"/>
      <c r="R28" s="223">
        <f>R27/MAX(J9,1)</f>
        <v>0.24588615618494367</v>
      </c>
      <c r="S28" s="24" t="s">
        <v>194</v>
      </c>
      <c r="W28"/>
    </row>
    <row r="29" spans="1:26" s="24" customFormat="1" ht="12" customHeight="1">
      <c r="A29" s="41"/>
      <c r="B29" s="33" t="s">
        <v>142</v>
      </c>
      <c r="C29" s="33" t="s">
        <v>143</v>
      </c>
      <c r="D29" s="33" t="str">
        <f>IF(C4="IP","Deg F",IF(C4="SI","Deg C",""))</f>
        <v>Deg F</v>
      </c>
      <c r="E29" s="61" t="str">
        <f>IF($J$13=$D$157,IF(COUNT(J29)=0,"Insert Value",""),"")</f>
        <v/>
      </c>
      <c r="F29" s="33"/>
      <c r="G29" s="33"/>
      <c r="H29" s="32"/>
      <c r="I29" s="35"/>
      <c r="J29" s="3">
        <v>100</v>
      </c>
      <c r="K29" s="134">
        <f t="shared" ref="K29" si="4">IF(OR(K21="Induction Terminal Unit",K21="Transfer Fan",K21="Dual Fan Dual Duct"),K27,1)</f>
        <v>1</v>
      </c>
      <c r="L29" s="134">
        <f t="shared" ref="L29:M29" si="5">IF(OR(L21="Induction Terminal Unit",L21="Transfer Fan",L21="Dual Fan Dual Duct"),L27,1)</f>
        <v>1</v>
      </c>
      <c r="M29" s="134">
        <f t="shared" si="5"/>
        <v>1</v>
      </c>
      <c r="N29" s="134">
        <f t="shared" ref="N29:O29" si="6">IF(OR(N21="Induction Terminal Unit",N21="Transfer Fan",N21="Dual Fan Dual Duct"),N27,1)</f>
        <v>1</v>
      </c>
      <c r="O29" s="134">
        <f t="shared" si="6"/>
        <v>1</v>
      </c>
      <c r="P29" s="147" t="s">
        <v>299</v>
      </c>
      <c r="Q29" s="36"/>
      <c r="W29"/>
    </row>
    <row r="30" spans="1:26" s="24" customFormat="1" ht="12" customHeight="1">
      <c r="A30" s="64"/>
      <c r="B30" s="33" t="s">
        <v>114</v>
      </c>
      <c r="C30" s="33" t="s">
        <v>115</v>
      </c>
      <c r="D30" s="33" t="str">
        <f>D$29</f>
        <v>Deg F</v>
      </c>
      <c r="E30" s="61" t="str">
        <f>IF($J$13=$D$157,IF(COUNT(J30)=0,"Insert Value",""),"")</f>
        <v/>
      </c>
      <c r="F30" s="65"/>
      <c r="G30" s="65"/>
      <c r="H30" s="66"/>
      <c r="I30" s="67"/>
      <c r="J30" s="3">
        <v>57</v>
      </c>
      <c r="K30" s="62"/>
      <c r="L30" s="62"/>
      <c r="M30" s="62"/>
      <c r="N30" s="62"/>
      <c r="O30" s="62"/>
      <c r="P30" s="63"/>
      <c r="Q30" s="36"/>
      <c r="W30"/>
    </row>
    <row r="31" spans="1:26" s="24" customFormat="1" ht="12" customHeight="1">
      <c r="A31" s="64"/>
      <c r="B31" s="33" t="s">
        <v>116</v>
      </c>
      <c r="C31" s="33" t="s">
        <v>117</v>
      </c>
      <c r="D31" s="33" t="str">
        <f>D$29</f>
        <v>Deg F</v>
      </c>
      <c r="E31" s="61" t="str">
        <f>IF($J$13=$D$157,IF(COUNT(J31)=0,"Insert Value",""),"")</f>
        <v/>
      </c>
      <c r="F31" s="65"/>
      <c r="G31" s="65"/>
      <c r="H31" s="66"/>
      <c r="I31" s="67"/>
      <c r="J31" s="3">
        <v>72</v>
      </c>
      <c r="K31" s="62"/>
      <c r="L31" s="62"/>
      <c r="M31" s="62"/>
      <c r="N31" s="62"/>
      <c r="O31" s="62"/>
      <c r="P31" s="37"/>
      <c r="Q31" s="36"/>
      <c r="W31"/>
    </row>
    <row r="32" spans="1:26" s="24" customFormat="1" ht="12" customHeight="1">
      <c r="A32" s="64"/>
      <c r="B32" s="33" t="s">
        <v>118</v>
      </c>
      <c r="C32" s="33" t="s">
        <v>119</v>
      </c>
      <c r="D32" s="33" t="str">
        <f>D$29</f>
        <v>Deg F</v>
      </c>
      <c r="E32" s="61" t="str">
        <f>IF($J$13=$D$157,IF(COUNT(J32)=0,"Insert Value",""),"")</f>
        <v/>
      </c>
      <c r="F32" s="65"/>
      <c r="G32" s="65"/>
      <c r="H32" s="66"/>
      <c r="I32" s="67"/>
      <c r="J32" s="3">
        <v>2</v>
      </c>
      <c r="K32" s="62"/>
      <c r="L32" s="62"/>
      <c r="M32" s="62"/>
      <c r="N32" s="62"/>
      <c r="O32" s="62"/>
      <c r="P32" s="37"/>
      <c r="Q32" s="36"/>
    </row>
    <row r="33" spans="1:17" s="24" customFormat="1" ht="12" customHeight="1">
      <c r="A33" s="68"/>
      <c r="B33" s="217" t="s">
        <v>120</v>
      </c>
      <c r="C33" s="217" t="s">
        <v>121</v>
      </c>
      <c r="D33" s="217" t="str">
        <f>D$29</f>
        <v>Deg F</v>
      </c>
      <c r="E33" s="69" t="str">
        <f>IF($J$13=$D$157,IF(COUNT(J33)=0,"Insert Value",""),"")</f>
        <v/>
      </c>
      <c r="F33" s="70"/>
      <c r="G33" s="70"/>
      <c r="H33" s="71"/>
      <c r="I33" s="72"/>
      <c r="J33" s="3">
        <v>0</v>
      </c>
      <c r="K33" s="73"/>
      <c r="L33" s="73"/>
      <c r="M33" s="73"/>
      <c r="N33" s="73"/>
      <c r="O33" s="73"/>
      <c r="P33" s="224"/>
      <c r="Q33" s="54"/>
    </row>
    <row r="34" spans="1:17" s="24" customFormat="1" ht="12" customHeight="1">
      <c r="A34" s="41" t="s">
        <v>145</v>
      </c>
      <c r="B34" s="221"/>
      <c r="C34" s="32"/>
      <c r="D34" s="32"/>
      <c r="E34" s="35"/>
      <c r="F34" s="34"/>
      <c r="G34" s="34"/>
      <c r="H34" s="77"/>
      <c r="I34" s="35"/>
      <c r="J34" s="220"/>
      <c r="K34" s="33"/>
      <c r="L34" s="33"/>
      <c r="M34" s="33"/>
      <c r="N34" s="33"/>
      <c r="O34" s="33"/>
      <c r="P34" s="37"/>
      <c r="Q34" s="36"/>
    </row>
    <row r="35" spans="1:17" s="24" customFormat="1" ht="12" customHeight="1">
      <c r="A35" s="76"/>
      <c r="B35" s="26" t="s">
        <v>8</v>
      </c>
      <c r="C35" s="137" t="str">
        <f>C60</f>
        <v>Ev</v>
      </c>
      <c r="D35" s="26"/>
      <c r="E35" s="26"/>
      <c r="F35" s="75" t="str">
        <f>IF(J60&lt;J44/MAX(J43,0.000001),"Critical zone needs more ventilation","")</f>
        <v/>
      </c>
      <c r="G35" s="26"/>
      <c r="H35" s="77"/>
      <c r="I35" s="35"/>
      <c r="J35" s="74">
        <f>IF(AND(J13=D157,J29&gt;J74,J29&lt;J31),"Operating Condition Not Critical - Economizer will provide Outdoor Air required",IF(J60&gt;1,1,J60))</f>
        <v>1</v>
      </c>
      <c r="K35" s="75"/>
      <c r="L35" s="75"/>
      <c r="M35" s="75"/>
      <c r="N35" s="75"/>
      <c r="O35" s="75"/>
      <c r="P35" s="37"/>
      <c r="Q35" s="36"/>
    </row>
    <row r="36" spans="1:17" s="24" customFormat="1" ht="12" customHeight="1">
      <c r="A36" s="76"/>
      <c r="B36" s="26" t="s">
        <v>146</v>
      </c>
      <c r="C36" s="137" t="str">
        <f>C65</f>
        <v>Vot</v>
      </c>
      <c r="D36" s="26" t="str">
        <f>D65</f>
        <v>cfm</v>
      </c>
      <c r="E36" s="26"/>
      <c r="F36" s="26"/>
      <c r="G36" s="26"/>
      <c r="H36" s="77"/>
      <c r="I36" s="35"/>
      <c r="J36" s="78">
        <f>IF(AND(J13=D157,J29&gt;J74,J29&lt;J31),"--",J63)</f>
        <v>468.98160595393443</v>
      </c>
      <c r="K36" s="58"/>
      <c r="L36" s="58"/>
      <c r="M36" s="58"/>
      <c r="N36" s="58"/>
      <c r="O36" s="58"/>
      <c r="P36" s="37"/>
      <c r="Q36" s="36"/>
    </row>
    <row r="37" spans="1:17" s="24" customFormat="1" ht="12" customHeight="1">
      <c r="A37" s="29"/>
      <c r="B37" s="26" t="s">
        <v>156</v>
      </c>
      <c r="C37" s="137" t="s">
        <v>290</v>
      </c>
      <c r="D37" s="26" t="str">
        <f>D10</f>
        <v>cfm/sf</v>
      </c>
      <c r="E37" s="56"/>
      <c r="F37" s="58" t="str">
        <f>IF(J43&gt;J9,"System primary supply airflow is greater than design supply airflow!","")</f>
        <v/>
      </c>
      <c r="G37" s="57"/>
      <c r="H37" s="77"/>
      <c r="I37" s="35"/>
      <c r="J37" s="74">
        <f>J36/F7</f>
        <v>0.13875195442424096</v>
      </c>
      <c r="K37" s="58"/>
      <c r="L37" s="58"/>
      <c r="M37" s="58"/>
      <c r="N37" s="58"/>
      <c r="O37" s="58"/>
      <c r="P37" s="37"/>
      <c r="Q37" s="36"/>
    </row>
    <row r="38" spans="1:17" s="24" customFormat="1" ht="12" customHeight="1">
      <c r="A38" s="29"/>
      <c r="B38" s="26" t="s">
        <v>191</v>
      </c>
      <c r="C38" s="137" t="s">
        <v>291</v>
      </c>
      <c r="D38" s="26" t="s">
        <v>192</v>
      </c>
      <c r="E38" s="56"/>
      <c r="F38" s="57"/>
      <c r="G38" s="57"/>
      <c r="H38" s="77"/>
      <c r="I38" s="35"/>
      <c r="J38" s="79">
        <f>J36/Ps_diversified</f>
        <v>46.898160595393442</v>
      </c>
      <c r="K38" s="58"/>
      <c r="L38" s="58"/>
      <c r="M38" s="58"/>
      <c r="N38" s="58"/>
      <c r="O38" s="58"/>
      <c r="P38" s="37"/>
      <c r="Q38" s="36"/>
    </row>
    <row r="39" spans="1:17" s="24" customFormat="1" ht="12" customHeight="1">
      <c r="A39" s="29"/>
      <c r="B39" s="26" t="s">
        <v>189</v>
      </c>
      <c r="C39" s="26" t="s">
        <v>190</v>
      </c>
      <c r="D39" s="201" t="s">
        <v>88</v>
      </c>
      <c r="E39" s="56"/>
      <c r="F39" s="57"/>
      <c r="G39" s="57"/>
      <c r="H39" s="77"/>
      <c r="I39" s="35"/>
      <c r="J39" s="80">
        <f>IF(AND(J13=D157,J29&gt;J74,J29&lt;J31),"--",J36/F9)</f>
        <v>0.15434536632230211</v>
      </c>
      <c r="K39" s="75"/>
      <c r="L39" s="75"/>
      <c r="M39" s="75"/>
      <c r="N39" s="75"/>
      <c r="O39" s="75"/>
      <c r="P39" s="37"/>
      <c r="Q39" s="36"/>
    </row>
    <row r="40" spans="1:17" s="208" customFormat="1" ht="12" customHeight="1" thickBot="1">
      <c r="A40" s="81"/>
      <c r="B40" s="225"/>
      <c r="C40" s="225"/>
      <c r="D40" s="225"/>
      <c r="E40" s="82"/>
      <c r="H40" s="83"/>
      <c r="I40" s="83"/>
      <c r="J40" s="84"/>
      <c r="K40" s="85"/>
      <c r="L40" s="85"/>
      <c r="M40" s="85"/>
      <c r="N40" s="85"/>
      <c r="O40" s="85"/>
      <c r="P40" s="209"/>
      <c r="Q40" s="210"/>
    </row>
    <row r="41" spans="1:17" s="24" customFormat="1" ht="12" customHeight="1">
      <c r="A41" s="86" t="s">
        <v>148</v>
      </c>
      <c r="B41" s="226"/>
      <c r="C41" s="226"/>
      <c r="D41" s="226"/>
      <c r="E41" s="87"/>
      <c r="F41" s="227"/>
      <c r="G41" s="227"/>
      <c r="H41" s="88"/>
      <c r="I41" s="88"/>
      <c r="J41" s="89"/>
      <c r="K41" s="90"/>
      <c r="L41" s="90"/>
      <c r="M41" s="90"/>
      <c r="N41" s="90"/>
      <c r="O41" s="90"/>
    </row>
    <row r="42" spans="1:17" s="24" customFormat="1" ht="12" customHeight="1">
      <c r="A42" s="86" t="s">
        <v>96</v>
      </c>
      <c r="B42" s="91"/>
      <c r="C42" s="92"/>
      <c r="D42" s="92"/>
      <c r="E42" s="89"/>
      <c r="F42" s="89"/>
      <c r="G42" s="89"/>
      <c r="H42" s="93"/>
      <c r="I42" s="94"/>
      <c r="J42" s="89"/>
      <c r="K42" s="90"/>
      <c r="L42" s="90"/>
      <c r="M42" s="90"/>
      <c r="N42" s="90"/>
      <c r="O42" s="90"/>
    </row>
    <row r="43" spans="1:17" s="24" customFormat="1" ht="12" customHeight="1">
      <c r="A43" s="95"/>
      <c r="B43" s="226" t="s">
        <v>9</v>
      </c>
      <c r="C43" s="138" t="s">
        <v>77</v>
      </c>
      <c r="D43" s="228" t="str">
        <f>$D$9</f>
        <v>cfm</v>
      </c>
      <c r="E43" s="229" t="s">
        <v>95</v>
      </c>
      <c r="F43" s="194" t="s">
        <v>330</v>
      </c>
      <c r="G43" s="227"/>
      <c r="H43" s="96"/>
      <c r="I43" s="230" t="s">
        <v>95</v>
      </c>
      <c r="J43" s="231">
        <f>J9*J24</f>
        <v>747.13019999999995</v>
      </c>
      <c r="K43" s="227"/>
      <c r="L43" s="227"/>
      <c r="M43" s="227"/>
      <c r="N43" s="227"/>
      <c r="O43" s="227"/>
      <c r="P43" s="60"/>
    </row>
    <row r="44" spans="1:17" s="24" customFormat="1" ht="12" customHeight="1">
      <c r="A44" s="86"/>
      <c r="B44" s="226" t="s">
        <v>10</v>
      </c>
      <c r="C44" s="138" t="s">
        <v>76</v>
      </c>
      <c r="D44" s="228" t="str">
        <f>$D$9</f>
        <v>cfm</v>
      </c>
      <c r="E44" s="229" t="s">
        <v>95</v>
      </c>
      <c r="F44" s="232" t="s">
        <v>292</v>
      </c>
      <c r="G44" s="232"/>
      <c r="H44" s="232"/>
      <c r="I44" s="230" t="s">
        <v>95</v>
      </c>
      <c r="J44" s="231">
        <f>F11*J8+F10*F7</f>
        <v>683.4</v>
      </c>
      <c r="K44" s="233"/>
      <c r="L44" s="233"/>
      <c r="M44" s="233"/>
      <c r="N44" s="233"/>
      <c r="O44" s="233"/>
      <c r="P44" s="234"/>
    </row>
    <row r="45" spans="1:17" s="24" customFormat="1" ht="12" customHeight="1">
      <c r="A45" s="86"/>
      <c r="B45" s="226" t="s">
        <v>97</v>
      </c>
      <c r="C45" s="139" t="s">
        <v>56</v>
      </c>
      <c r="D45" s="228"/>
      <c r="E45" s="229" t="s">
        <v>95</v>
      </c>
      <c r="F45" s="143" t="s">
        <v>293</v>
      </c>
      <c r="G45" s="143"/>
      <c r="H45" s="97"/>
      <c r="I45" s="235" t="s">
        <v>95</v>
      </c>
      <c r="J45" s="233">
        <f>$J44/MAX($J43,1)</f>
        <v>0.91470000811103613</v>
      </c>
      <c r="K45" s="233"/>
      <c r="L45" s="233"/>
      <c r="M45" s="233"/>
      <c r="N45" s="233"/>
      <c r="O45" s="233"/>
    </row>
    <row r="46" spans="1:17" s="24" customFormat="1" ht="12" customHeight="1">
      <c r="A46" s="86" t="s">
        <v>98</v>
      </c>
      <c r="B46" s="91"/>
      <c r="C46" s="92"/>
      <c r="D46" s="92"/>
      <c r="E46" s="89"/>
      <c r="F46" s="89"/>
      <c r="G46" s="89"/>
      <c r="H46" s="93"/>
      <c r="I46" s="94"/>
      <c r="J46" s="89"/>
      <c r="K46" s="90"/>
      <c r="L46" s="90"/>
      <c r="M46" s="90"/>
      <c r="N46" s="90"/>
      <c r="O46" s="90"/>
    </row>
    <row r="47" spans="1:17" s="24" customFormat="1" ht="12" customHeight="1">
      <c r="A47" s="95"/>
      <c r="B47" s="226" t="s">
        <v>13</v>
      </c>
      <c r="C47" s="228" t="s">
        <v>282</v>
      </c>
      <c r="D47" s="228" t="str">
        <f>$D$10</f>
        <v>cfm/sf</v>
      </c>
      <c r="E47" s="227"/>
      <c r="F47" s="227"/>
      <c r="G47" s="227"/>
      <c r="H47" s="96"/>
      <c r="I47" s="230"/>
      <c r="J47" s="227"/>
      <c r="K47" s="233">
        <f t="shared" ref="K47:O47" si="7">VLOOKUP(K$17,Space_air_rates,IF($C$4="IP",3,5),FALSE)*(1+$F$12)</f>
        <v>0.18</v>
      </c>
      <c r="L47" s="233">
        <f t="shared" si="7"/>
        <v>0.18</v>
      </c>
      <c r="M47" s="233">
        <f t="shared" si="7"/>
        <v>0.18</v>
      </c>
      <c r="N47" s="233">
        <f t="shared" si="7"/>
        <v>0.18</v>
      </c>
      <c r="O47" s="233">
        <f t="shared" si="7"/>
        <v>0.18</v>
      </c>
    </row>
    <row r="48" spans="1:17" s="24" customFormat="1" ht="12" customHeight="1">
      <c r="A48" s="95"/>
      <c r="B48" s="226" t="s">
        <v>14</v>
      </c>
      <c r="C48" s="228" t="s">
        <v>283</v>
      </c>
      <c r="D48" s="228" t="str">
        <f>$D$11</f>
        <v>cfm/p</v>
      </c>
      <c r="E48" s="227"/>
      <c r="F48" s="227"/>
      <c r="G48" s="227"/>
      <c r="H48" s="96"/>
      <c r="I48" s="230"/>
      <c r="J48" s="227"/>
      <c r="K48" s="233">
        <f t="shared" ref="K48:O48" si="8">VLOOKUP(K$17,Space_air_rates,IF($C$4="IP",2,4),FALSE)*(1+$F$12)</f>
        <v>7.5</v>
      </c>
      <c r="L48" s="233">
        <f t="shared" si="8"/>
        <v>7.5</v>
      </c>
      <c r="M48" s="233">
        <f t="shared" si="8"/>
        <v>7.5</v>
      </c>
      <c r="N48" s="233">
        <f t="shared" si="8"/>
        <v>7.5</v>
      </c>
      <c r="O48" s="233">
        <f t="shared" si="8"/>
        <v>7.5</v>
      </c>
    </row>
    <row r="49" spans="1:17" s="24" customFormat="1" ht="12" customHeight="1">
      <c r="A49" s="86"/>
      <c r="B49" s="226" t="s">
        <v>94</v>
      </c>
      <c r="C49" s="138" t="s">
        <v>54</v>
      </c>
      <c r="D49" s="228" t="str">
        <f>$D$9</f>
        <v>cfm</v>
      </c>
      <c r="E49" s="98" t="str">
        <f>IF(J60&lt;J44/(J43+0.0001),"Critical zone needs more ventilation","")</f>
        <v/>
      </c>
      <c r="F49" s="195" t="s">
        <v>331</v>
      </c>
      <c r="G49" s="229"/>
      <c r="H49" s="232"/>
      <c r="I49" s="230"/>
      <c r="J49" s="236"/>
      <c r="K49" s="231">
        <f t="shared" ref="K49" si="9">K20*K24</f>
        <v>50</v>
      </c>
      <c r="L49" s="231">
        <f t="shared" ref="L49:M52" si="10">SUM(K49:K49)</f>
        <v>50</v>
      </c>
      <c r="M49" s="231">
        <f t="shared" si="10"/>
        <v>50</v>
      </c>
      <c r="N49" s="231">
        <f t="shared" ref="N49" si="11">SUM(M49:M49)</f>
        <v>50</v>
      </c>
      <c r="O49" s="231">
        <f>SUM(N49:N49)</f>
        <v>50</v>
      </c>
      <c r="P49" s="60">
        <f>SUM(K49:O49)</f>
        <v>250</v>
      </c>
    </row>
    <row r="50" spans="1:17" s="24" customFormat="1" ht="12" customHeight="1">
      <c r="A50" s="86"/>
      <c r="B50" s="226" t="s">
        <v>289</v>
      </c>
      <c r="C50" s="138" t="s">
        <v>286</v>
      </c>
      <c r="D50" s="228" t="s">
        <v>193</v>
      </c>
      <c r="E50" s="229" t="s">
        <v>95</v>
      </c>
      <c r="F50" s="144" t="s">
        <v>287</v>
      </c>
      <c r="G50" s="144"/>
      <c r="H50" s="232"/>
      <c r="I50" s="230" t="s">
        <v>95</v>
      </c>
      <c r="J50" s="233"/>
      <c r="K50" s="231">
        <f t="shared" ref="K50" si="12">K49*K29</f>
        <v>50</v>
      </c>
      <c r="L50" s="231">
        <f t="shared" si="10"/>
        <v>50</v>
      </c>
      <c r="M50" s="231">
        <f t="shared" si="10"/>
        <v>50</v>
      </c>
      <c r="N50" s="231">
        <f t="shared" ref="N50" si="13">SUM(M50:M50)</f>
        <v>50</v>
      </c>
      <c r="O50" s="231">
        <f>SUM(N50:N50)</f>
        <v>50</v>
      </c>
      <c r="P50" s="60">
        <f>SUM(K50:O50)</f>
        <v>250</v>
      </c>
    </row>
    <row r="51" spans="1:17" s="24" customFormat="1">
      <c r="A51" s="86"/>
      <c r="B51" s="226" t="s">
        <v>12</v>
      </c>
      <c r="C51" s="138" t="s">
        <v>99</v>
      </c>
      <c r="D51" s="228" t="str">
        <f>$D$9</f>
        <v>cfm</v>
      </c>
      <c r="E51" s="229" t="s">
        <v>95</v>
      </c>
      <c r="F51" s="144" t="s">
        <v>284</v>
      </c>
      <c r="G51" s="144"/>
      <c r="H51" s="232"/>
      <c r="I51" s="230" t="s">
        <v>95</v>
      </c>
      <c r="J51" s="233"/>
      <c r="K51" s="231">
        <f t="shared" ref="K51" si="14">K48*K19+K47*K18</f>
        <v>18.299999999999997</v>
      </c>
      <c r="L51" s="231">
        <f t="shared" si="10"/>
        <v>18.299999999999997</v>
      </c>
      <c r="M51" s="231">
        <f t="shared" si="10"/>
        <v>18.299999999999997</v>
      </c>
      <c r="N51" s="231">
        <f t="shared" ref="N51" si="15">SUM(M51:M51)</f>
        <v>18.299999999999997</v>
      </c>
      <c r="O51" s="231">
        <f>SUM(N51:N51)</f>
        <v>18.299999999999997</v>
      </c>
      <c r="P51" s="60">
        <f>SUM(K51:O51)</f>
        <v>91.499999999999986</v>
      </c>
    </row>
    <row r="52" spans="1:17" s="24" customFormat="1">
      <c r="A52" s="86"/>
      <c r="B52" s="226" t="s">
        <v>11</v>
      </c>
      <c r="C52" s="138" t="s">
        <v>57</v>
      </c>
      <c r="D52" s="228" t="str">
        <f>$D$9</f>
        <v>cfm</v>
      </c>
      <c r="E52" s="229" t="s">
        <v>95</v>
      </c>
      <c r="F52" s="144" t="s">
        <v>294</v>
      </c>
      <c r="G52" s="144"/>
      <c r="H52" s="232"/>
      <c r="I52" s="230" t="s">
        <v>95</v>
      </c>
      <c r="J52" s="233"/>
      <c r="K52" s="231">
        <f t="shared" ref="K52" si="16">K51/MAX(K26,0.1)</f>
        <v>22.874999999999996</v>
      </c>
      <c r="L52" s="231">
        <f t="shared" si="10"/>
        <v>22.874999999999996</v>
      </c>
      <c r="M52" s="231">
        <f t="shared" si="10"/>
        <v>22.874999999999996</v>
      </c>
      <c r="N52" s="231">
        <f t="shared" ref="N52" si="17">SUM(M52:M52)</f>
        <v>22.874999999999996</v>
      </c>
      <c r="O52" s="231">
        <f>SUM(N52:N52)</f>
        <v>22.874999999999996</v>
      </c>
      <c r="P52" s="60">
        <f>SUM(K52:O52)</f>
        <v>114.37499999999999</v>
      </c>
    </row>
    <row r="53" spans="1:17" s="24" customFormat="1">
      <c r="A53" s="95"/>
      <c r="B53" s="237" t="s">
        <v>100</v>
      </c>
      <c r="C53" s="138" t="s">
        <v>51</v>
      </c>
      <c r="D53" s="228"/>
      <c r="E53" s="229" t="s">
        <v>95</v>
      </c>
      <c r="F53" s="144" t="s">
        <v>295</v>
      </c>
      <c r="G53" s="144"/>
      <c r="H53" s="227"/>
      <c r="I53" s="230" t="s">
        <v>95</v>
      </c>
      <c r="J53" s="233"/>
      <c r="K53" s="233">
        <f t="shared" ref="K53" si="18">IF(OR(K21="Induction Terminal Unit",K21="Transfer Fan"),K29+(1-K29)*K28,1)</f>
        <v>1</v>
      </c>
      <c r="L53" s="233">
        <f t="shared" ref="L53:M53" si="19">IF(OR(L21="Induction Terminal Unit",L21="Transfer Fan"),L29+(1-L29)*L28,1)</f>
        <v>1</v>
      </c>
      <c r="M53" s="233">
        <f t="shared" si="19"/>
        <v>1</v>
      </c>
      <c r="N53" s="233">
        <f t="shared" ref="N53:O53" si="20">IF(OR(N21="Induction Terminal Unit",N21="Transfer Fan"),N29+(1-N29)*N28,1)</f>
        <v>1</v>
      </c>
      <c r="O53" s="233">
        <f t="shared" si="20"/>
        <v>1</v>
      </c>
    </row>
    <row r="54" spans="1:17" s="24" customFormat="1">
      <c r="A54" s="95"/>
      <c r="B54" s="237" t="s">
        <v>101</v>
      </c>
      <c r="C54" s="138" t="s">
        <v>52</v>
      </c>
      <c r="D54" s="228"/>
      <c r="E54" s="229" t="s">
        <v>95</v>
      </c>
      <c r="F54" s="144" t="s">
        <v>55</v>
      </c>
      <c r="G54" s="144"/>
      <c r="H54" s="227"/>
      <c r="I54" s="230" t="s">
        <v>95</v>
      </c>
      <c r="J54" s="233"/>
      <c r="K54" s="233">
        <f t="shared" ref="K54" si="21">IF(ISTEXT(K21),K29,1)</f>
        <v>1</v>
      </c>
      <c r="L54" s="233">
        <f t="shared" ref="L54:M54" si="22">IF(ISTEXT(L21),L29,1)</f>
        <v>1</v>
      </c>
      <c r="M54" s="233">
        <f t="shared" si="22"/>
        <v>1</v>
      </c>
      <c r="N54" s="233">
        <f t="shared" ref="N54:O54" si="23">IF(ISTEXT(N21),N29,1)</f>
        <v>1</v>
      </c>
      <c r="O54" s="233">
        <f t="shared" si="23"/>
        <v>1</v>
      </c>
    </row>
    <row r="55" spans="1:17" s="24" customFormat="1">
      <c r="A55" s="86"/>
      <c r="B55" s="226" t="s">
        <v>102</v>
      </c>
      <c r="C55" s="138" t="s">
        <v>53</v>
      </c>
      <c r="D55" s="228"/>
      <c r="E55" s="229" t="s">
        <v>95</v>
      </c>
      <c r="F55" s="144" t="s">
        <v>103</v>
      </c>
      <c r="G55" s="144"/>
      <c r="H55" s="227"/>
      <c r="I55" s="230" t="s">
        <v>95</v>
      </c>
      <c r="J55" s="233"/>
      <c r="K55" s="233">
        <f t="shared" ref="K55" si="24">IF(OR(K21="Dual Fan Dual Duct",K21="Transfer Fan",K21="Induction Terminal Unit"),1-(1-K26)*(1-K29)*(1-K28),1)</f>
        <v>1</v>
      </c>
      <c r="L55" s="233">
        <f t="shared" ref="L55:M55" si="25">IF(OR(L21="Dual Fan Dual Duct",L21="Transfer Fan",L21="Induction Terminal Unit"),1-(1-L26)*(1-L29)*(1-L28),1)</f>
        <v>1</v>
      </c>
      <c r="M55" s="233">
        <f t="shared" si="25"/>
        <v>1</v>
      </c>
      <c r="N55" s="233">
        <f t="shared" ref="N55:O55" si="26">IF(OR(N21="Dual Fan Dual Duct",N21="Transfer Fan",N21="Induction Terminal Unit"),1-(1-N26)*(1-N29)*(1-N28),1)</f>
        <v>1</v>
      </c>
      <c r="O55" s="233">
        <f t="shared" si="26"/>
        <v>1</v>
      </c>
    </row>
    <row r="56" spans="1:17" s="24" customFormat="1">
      <c r="A56" s="86"/>
      <c r="B56" s="226" t="s">
        <v>2</v>
      </c>
      <c r="C56" s="233" t="s">
        <v>186</v>
      </c>
      <c r="D56" s="228"/>
      <c r="E56" s="229" t="s">
        <v>95</v>
      </c>
      <c r="F56" s="144" t="s">
        <v>149</v>
      </c>
      <c r="G56" s="144"/>
      <c r="H56" s="227"/>
      <c r="I56" s="230" t="s">
        <v>95</v>
      </c>
      <c r="J56" s="233"/>
      <c r="K56" s="233">
        <f t="shared" ref="K56" si="27">K52/MAX(K49,1)</f>
        <v>0.45749999999999991</v>
      </c>
      <c r="L56" s="233">
        <f>MAX(K56:K56)</f>
        <v>0.45749999999999991</v>
      </c>
      <c r="M56" s="233">
        <f>MAX(L56:L56)</f>
        <v>0.45749999999999991</v>
      </c>
      <c r="N56" s="233">
        <f>MAX(M56:M56)</f>
        <v>0.45749999999999991</v>
      </c>
      <c r="O56" s="233">
        <f>MAX(N56:N56)</f>
        <v>0.45749999999999991</v>
      </c>
      <c r="P56" s="234">
        <f>MAX(K56:O56)</f>
        <v>0.45749999999999991</v>
      </c>
      <c r="Q56" s="24" t="s">
        <v>188</v>
      </c>
    </row>
    <row r="57" spans="1:17" s="24" customFormat="1">
      <c r="A57" s="86"/>
      <c r="B57" s="226" t="s">
        <v>3</v>
      </c>
      <c r="C57" s="140" t="s">
        <v>285</v>
      </c>
      <c r="D57" s="228"/>
      <c r="E57" s="229" t="s">
        <v>95</v>
      </c>
      <c r="F57" s="144" t="s">
        <v>187</v>
      </c>
      <c r="G57" s="144"/>
      <c r="H57" s="227"/>
      <c r="I57" s="230" t="s">
        <v>95</v>
      </c>
      <c r="J57" s="233"/>
      <c r="K57" s="233">
        <f t="shared" ref="K57" si="28">IF(K29&gt;0,K52/MAX(K50,1),0.001)</f>
        <v>0.45749999999999991</v>
      </c>
      <c r="L57" s="233">
        <f>MAX(K57:K57)</f>
        <v>0.45749999999999991</v>
      </c>
      <c r="M57" s="233">
        <f>MAX(L57:L57)</f>
        <v>0.45749999999999991</v>
      </c>
      <c r="N57" s="233">
        <f>MAX(M57:M57)</f>
        <v>0.45749999999999991</v>
      </c>
      <c r="O57" s="233">
        <f>MAX(N57:N57)</f>
        <v>0.45749999999999991</v>
      </c>
      <c r="P57" s="234">
        <f>MAX(K57:O57)</f>
        <v>0.45749999999999991</v>
      </c>
      <c r="Q57" s="24" t="s">
        <v>297</v>
      </c>
    </row>
    <row r="58" spans="1:17" s="24" customFormat="1">
      <c r="A58" s="86" t="s">
        <v>104</v>
      </c>
      <c r="B58" s="226"/>
      <c r="C58" s="238"/>
      <c r="D58" s="228"/>
      <c r="E58" s="229"/>
      <c r="F58" s="239"/>
      <c r="G58" s="239"/>
      <c r="H58" s="97"/>
      <c r="I58" s="235"/>
      <c r="J58" s="99" t="str">
        <f>IF(MAX(L56:L56)&gt;1,"Critical zone needs over 100% OA in zone SA","")</f>
        <v/>
      </c>
      <c r="K58" s="233"/>
      <c r="L58" s="233"/>
      <c r="M58" s="233"/>
      <c r="N58" s="233"/>
      <c r="O58" s="233"/>
    </row>
    <row r="59" spans="1:17" s="24" customFormat="1">
      <c r="A59" s="86"/>
      <c r="B59" s="226" t="s">
        <v>236</v>
      </c>
      <c r="C59" s="138" t="s">
        <v>105</v>
      </c>
      <c r="D59" s="228"/>
      <c r="E59" s="229" t="s">
        <v>95</v>
      </c>
      <c r="F59" s="144" t="s">
        <v>288</v>
      </c>
      <c r="G59" s="144"/>
      <c r="H59" s="227"/>
      <c r="I59" s="230" t="s">
        <v>95</v>
      </c>
      <c r="J59" s="228"/>
      <c r="K59" s="233">
        <f t="shared" ref="K59" si="29">(K53+K54*$J45-K55*K56)/MAX(K53,0.001)</f>
        <v>1.4572000081110361</v>
      </c>
      <c r="L59" s="233">
        <f t="shared" ref="L59:M59" si="30">(L53+L54*$J45-L55*L56)/MAX(L53,0.001)</f>
        <v>1.4572000081110361</v>
      </c>
      <c r="M59" s="233">
        <f t="shared" si="30"/>
        <v>1.4572000081110361</v>
      </c>
      <c r="N59" s="233">
        <f t="shared" ref="N59:O59" si="31">(N53+N54*$J45-N55*N56)/MAX(N53,0.001)</f>
        <v>1.4572000081110361</v>
      </c>
      <c r="O59" s="233">
        <f t="shared" si="31"/>
        <v>1.4572000081110361</v>
      </c>
    </row>
    <row r="60" spans="1:17" s="24" customFormat="1">
      <c r="A60" s="86"/>
      <c r="B60" s="226" t="s">
        <v>237</v>
      </c>
      <c r="C60" s="138" t="s">
        <v>58</v>
      </c>
      <c r="D60" s="228"/>
      <c r="E60" s="229" t="s">
        <v>95</v>
      </c>
      <c r="F60" s="227" t="s">
        <v>296</v>
      </c>
      <c r="G60" s="227"/>
      <c r="H60" s="229"/>
      <c r="I60" s="230" t="s">
        <v>95</v>
      </c>
      <c r="J60" s="100">
        <f>MIN(L59:L59)</f>
        <v>1.4572000081110361</v>
      </c>
      <c r="K60" s="100"/>
      <c r="L60" s="240"/>
      <c r="M60" s="240"/>
      <c r="N60" s="240"/>
      <c r="O60" s="240"/>
      <c r="P60" s="234"/>
    </row>
    <row r="61" spans="1:17" s="24" customFormat="1">
      <c r="A61" s="101"/>
      <c r="B61" s="102" t="s">
        <v>15</v>
      </c>
      <c r="C61" s="141" t="s">
        <v>58</v>
      </c>
      <c r="D61" s="103"/>
      <c r="E61" s="104" t="s">
        <v>95</v>
      </c>
      <c r="F61" s="105" t="s">
        <v>106</v>
      </c>
      <c r="G61" s="105"/>
      <c r="H61" s="104"/>
      <c r="I61" s="106" t="s">
        <v>95</v>
      </c>
      <c r="J61" s="107">
        <f>IF(MAX(L57:L57)&gt;0.55,"n/a",IF(MAX(L57:L57)&gt;0.45,0.7-(MAX(L57:L57)-0.45),IF(MAX(L57:L57)&gt;0.35,0.8-(MAX(L57:L57)-0.35),IF(MAX(L57:L57)&gt;0.25,0.9-(MAX(L57:L57)-0.25),1-(MAX(L57:L57)-0.15)))))</f>
        <v>0.69250000000000012</v>
      </c>
      <c r="K61" s="107"/>
      <c r="L61" s="241"/>
      <c r="M61" s="241"/>
      <c r="N61" s="241"/>
      <c r="O61" s="241"/>
    </row>
    <row r="62" spans="1:17" s="24" customFormat="1">
      <c r="A62" s="86" t="s">
        <v>107</v>
      </c>
      <c r="B62" s="226"/>
      <c r="C62" s="228"/>
      <c r="D62" s="228"/>
      <c r="E62" s="229"/>
      <c r="F62" s="227"/>
      <c r="G62" s="227"/>
      <c r="H62" s="229"/>
      <c r="I62" s="230"/>
      <c r="J62" s="108"/>
      <c r="K62" s="108"/>
      <c r="L62" s="240"/>
      <c r="M62" s="240"/>
      <c r="N62" s="240"/>
      <c r="O62" s="240"/>
    </row>
    <row r="63" spans="1:17" s="24" customFormat="1">
      <c r="A63" s="86"/>
      <c r="B63" s="226" t="s">
        <v>108</v>
      </c>
      <c r="C63" s="140" t="s">
        <v>50</v>
      </c>
      <c r="D63" s="228" t="str">
        <f>IF($C$4="IP","cfm",IF($C$4="SI","l/s",""))</f>
        <v>cfm</v>
      </c>
      <c r="E63" s="229" t="s">
        <v>95</v>
      </c>
      <c r="F63" s="144" t="s">
        <v>109</v>
      </c>
      <c r="G63" s="144"/>
      <c r="H63" s="227"/>
      <c r="I63" s="230" t="s">
        <v>95</v>
      </c>
      <c r="J63" s="109">
        <f>IF(MIN(L59:L59)&lt;J44/J43,"No Solution",J44/J60)</f>
        <v>468.98160595393443</v>
      </c>
      <c r="K63" s="109"/>
      <c r="L63" s="240"/>
      <c r="M63" s="240"/>
      <c r="N63" s="240"/>
      <c r="O63" s="240"/>
    </row>
    <row r="64" spans="1:17" s="24" customFormat="1">
      <c r="A64" s="86"/>
      <c r="B64" s="226" t="s">
        <v>110</v>
      </c>
      <c r="C64" s="228" t="s">
        <v>111</v>
      </c>
      <c r="D64" s="228"/>
      <c r="E64" s="229" t="s">
        <v>95</v>
      </c>
      <c r="F64" s="144" t="s">
        <v>112</v>
      </c>
      <c r="G64" s="144"/>
      <c r="H64" s="229"/>
      <c r="I64" s="230" t="s">
        <v>95</v>
      </c>
      <c r="J64" s="110">
        <f>IF(MIN(L59:L59)&lt;J44/J43,"Would need over 100% OA intake",J63/J43)</f>
        <v>0.62771068008485598</v>
      </c>
      <c r="K64" s="110"/>
      <c r="L64" s="240"/>
      <c r="M64" s="240"/>
      <c r="N64" s="240"/>
      <c r="O64" s="240"/>
    </row>
    <row r="65" spans="1:15" s="24" customFormat="1">
      <c r="A65" s="101"/>
      <c r="B65" s="102" t="s">
        <v>238</v>
      </c>
      <c r="C65" s="142" t="s">
        <v>50</v>
      </c>
      <c r="D65" s="103" t="str">
        <f>IF($C$4="IP","cfm",IF($C$4="SI","l/s",""))</f>
        <v>cfm</v>
      </c>
      <c r="E65" s="104" t="s">
        <v>95</v>
      </c>
      <c r="F65" s="145" t="s">
        <v>109</v>
      </c>
      <c r="G65" s="145"/>
      <c r="H65" s="105"/>
      <c r="I65" s="106" t="s">
        <v>95</v>
      </c>
      <c r="J65" s="111">
        <f>IF(MAX(L57:L57)&gt;0.55,"n/a",J44/J61)</f>
        <v>986.8592057761731</v>
      </c>
      <c r="K65" s="111"/>
      <c r="L65" s="242" t="str">
        <f>IF(MAX(L57:L57)&gt;0.55,"",IF(J61&gt;J60,J63-J65,""))</f>
        <v/>
      </c>
      <c r="M65" s="242"/>
      <c r="N65" s="242"/>
      <c r="O65" s="242"/>
    </row>
    <row r="66" spans="1:15" s="24" customFormat="1">
      <c r="A66" s="101"/>
      <c r="B66" s="102" t="s">
        <v>239</v>
      </c>
      <c r="C66" s="103" t="s">
        <v>111</v>
      </c>
      <c r="D66" s="103"/>
      <c r="E66" s="104" t="s">
        <v>95</v>
      </c>
      <c r="F66" s="145" t="s">
        <v>112</v>
      </c>
      <c r="G66" s="145"/>
      <c r="H66" s="104"/>
      <c r="I66" s="106" t="s">
        <v>95</v>
      </c>
      <c r="J66" s="112">
        <f>IF(MAX(L57:L57)&gt;0.55,"n/a",J65/J43)</f>
        <v>1.3208664377054671</v>
      </c>
      <c r="K66" s="112"/>
      <c r="L66" s="242" t="str">
        <f>IF(MAX(L57:L57)&gt;0.55,"",IF(J61&gt;J60,(J64-J66)/J64,""))</f>
        <v/>
      </c>
      <c r="M66" s="242"/>
      <c r="N66" s="242"/>
      <c r="O66" s="242"/>
    </row>
    <row r="67" spans="1:15" s="24" customFormat="1" hidden="1">
      <c r="A67" s="86" t="s">
        <v>220</v>
      </c>
      <c r="B67" s="226"/>
      <c r="C67" s="228"/>
      <c r="D67" s="228"/>
      <c r="E67" s="227"/>
      <c r="F67" s="227"/>
      <c r="G67" s="227"/>
      <c r="H67" s="229"/>
      <c r="I67" s="230"/>
      <c r="J67" s="227"/>
      <c r="K67" s="227"/>
      <c r="L67" s="243"/>
      <c r="M67" s="243"/>
      <c r="N67" s="243"/>
      <c r="O67" s="243"/>
    </row>
    <row r="68" spans="1:15" s="24" customFormat="1" hidden="1">
      <c r="A68" s="86"/>
      <c r="B68" s="226" t="s">
        <v>222</v>
      </c>
      <c r="C68" s="228" t="s">
        <v>226</v>
      </c>
      <c r="D68" s="228" t="s">
        <v>224</v>
      </c>
      <c r="E68" s="227"/>
      <c r="F68" s="227"/>
      <c r="G68" s="227"/>
      <c r="H68" s="229"/>
      <c r="I68" s="230"/>
      <c r="J68" s="227"/>
      <c r="K68" s="227"/>
      <c r="L68" s="243"/>
      <c r="M68" s="243"/>
      <c r="N68" s="243"/>
      <c r="O68" s="243"/>
    </row>
    <row r="69" spans="1:15" s="24" customFormat="1" hidden="1">
      <c r="A69" s="86"/>
      <c r="B69" s="226" t="s">
        <v>227</v>
      </c>
      <c r="C69" s="228" t="s">
        <v>228</v>
      </c>
      <c r="D69" s="228" t="s">
        <v>229</v>
      </c>
      <c r="E69" s="229" t="s">
        <v>95</v>
      </c>
      <c r="F69" s="227"/>
      <c r="G69" s="227"/>
      <c r="H69" s="229"/>
      <c r="I69" s="230"/>
      <c r="J69" s="227"/>
      <c r="K69" s="227"/>
      <c r="L69" s="243">
        <v>9</v>
      </c>
      <c r="M69" s="243"/>
      <c r="N69" s="243"/>
      <c r="O69" s="243"/>
    </row>
    <row r="70" spans="1:15" s="24" customFormat="1" hidden="1">
      <c r="A70" s="86"/>
      <c r="B70" s="226" t="s">
        <v>221</v>
      </c>
      <c r="C70" s="228" t="s">
        <v>223</v>
      </c>
      <c r="D70" s="228" t="s">
        <v>224</v>
      </c>
      <c r="E70" s="229" t="s">
        <v>95</v>
      </c>
      <c r="F70" s="227" t="s">
        <v>225</v>
      </c>
      <c r="G70" s="227"/>
      <c r="H70" s="229"/>
      <c r="I70" s="230" t="s">
        <v>95</v>
      </c>
      <c r="J70" s="227"/>
      <c r="K70" s="227"/>
      <c r="L70" s="243">
        <f>3*L18*L69/MAX(L51,0.0001)</f>
        <v>1224.5901639344265</v>
      </c>
      <c r="M70" s="243"/>
      <c r="N70" s="243"/>
      <c r="O70" s="243"/>
    </row>
    <row r="71" spans="1:15" s="24" customFormat="1" hidden="1">
      <c r="A71" s="86"/>
      <c r="B71" s="226" t="s">
        <v>231</v>
      </c>
      <c r="C71" s="228"/>
      <c r="D71" s="228"/>
      <c r="E71" s="227"/>
      <c r="F71" s="227"/>
      <c r="G71" s="227"/>
      <c r="H71" s="229"/>
      <c r="I71" s="230"/>
      <c r="J71" s="227"/>
      <c r="K71" s="227"/>
      <c r="L71" s="243">
        <f>SUM(L17:L70)</f>
        <v>2995.7475639425375</v>
      </c>
      <c r="M71" s="243"/>
      <c r="N71" s="243"/>
      <c r="O71" s="243"/>
    </row>
    <row r="72" spans="1:15" s="24" customFormat="1" hidden="1">
      <c r="A72" s="86"/>
      <c r="B72" s="226" t="s">
        <v>230</v>
      </c>
      <c r="C72" s="228"/>
      <c r="D72" s="228"/>
      <c r="E72" s="227"/>
      <c r="F72" s="227"/>
      <c r="G72" s="227"/>
      <c r="H72" s="229"/>
      <c r="I72" s="230"/>
      <c r="J72" s="244" t="b">
        <f>L72</f>
        <v>0</v>
      </c>
      <c r="K72" s="244"/>
      <c r="L72" s="243" t="b">
        <f>OR(ISERROR(L71),L57&gt;1)</f>
        <v>0</v>
      </c>
      <c r="M72" s="243"/>
      <c r="N72" s="243"/>
      <c r="O72" s="243"/>
    </row>
    <row r="73" spans="1:15" s="24" customFormat="1">
      <c r="A73" s="86" t="s">
        <v>113</v>
      </c>
      <c r="B73" s="113"/>
      <c r="C73" s="114"/>
      <c r="D73" s="114"/>
      <c r="E73" s="88"/>
      <c r="F73" s="115"/>
      <c r="G73" s="115"/>
      <c r="H73" s="87"/>
      <c r="I73" s="116"/>
      <c r="J73" s="117"/>
      <c r="K73" s="117"/>
      <c r="L73" s="117"/>
      <c r="M73" s="117"/>
      <c r="N73" s="117"/>
      <c r="O73" s="117"/>
    </row>
    <row r="74" spans="1:15" s="24" customFormat="1" ht="13.5" thickBot="1">
      <c r="A74" s="118"/>
      <c r="B74" s="245" t="s">
        <v>122</v>
      </c>
      <c r="C74" s="246"/>
      <c r="D74" s="246" t="str">
        <f>D$29</f>
        <v>Deg F</v>
      </c>
      <c r="E74" s="247" t="s">
        <v>95</v>
      </c>
      <c r="F74" s="248" t="s">
        <v>123</v>
      </c>
      <c r="G74" s="248"/>
      <c r="H74" s="249"/>
      <c r="I74" s="250" t="s">
        <v>95</v>
      </c>
      <c r="J74" s="251">
        <f>((J30-J32)-(1-J64)*(J31+J33))/J64</f>
        <v>44.91745936567164</v>
      </c>
      <c r="K74" s="251"/>
      <c r="L74" s="252"/>
      <c r="M74" s="117"/>
      <c r="N74" s="117"/>
      <c r="O74" s="117"/>
    </row>
    <row r="152" spans="1:4" ht="9.9499999999999993" customHeight="1"/>
    <row r="153" spans="1:4" ht="9.9499999999999993" customHeight="1"/>
    <row r="154" spans="1:4" ht="9.9499999999999993" customHeight="1"/>
    <row r="155" spans="1:4" s="255" customFormat="1" ht="9.9499999999999993" customHeight="1">
      <c r="A155" s="255" t="s">
        <v>132</v>
      </c>
      <c r="B155" s="256"/>
      <c r="C155" s="257"/>
      <c r="D155" s="257"/>
    </row>
    <row r="156" spans="1:4" s="255" customFormat="1" ht="9.9499999999999993" customHeight="1">
      <c r="A156" s="255" t="s">
        <v>125</v>
      </c>
      <c r="B156" s="256"/>
      <c r="C156" s="257"/>
      <c r="D156" s="257"/>
    </row>
    <row r="157" spans="1:4" s="255" customFormat="1" ht="9.9499999999999993" customHeight="1">
      <c r="A157" s="255" t="str">
        <f>'[1]Table 6-1 Rates'!B3</f>
        <v>IP</v>
      </c>
      <c r="B157" s="256"/>
      <c r="C157" s="257" t="s">
        <v>199</v>
      </c>
      <c r="D157" s="257" t="s">
        <v>136</v>
      </c>
    </row>
    <row r="158" spans="1:4" s="255" customFormat="1" ht="9.9499999999999993" customHeight="1">
      <c r="A158" s="255" t="str">
        <f>'[1]Table 6-1 Rates'!D3</f>
        <v>SI</v>
      </c>
      <c r="B158" s="256"/>
      <c r="C158" s="257" t="s">
        <v>332</v>
      </c>
      <c r="D158" s="257" t="s">
        <v>137</v>
      </c>
    </row>
    <row r="159" spans="1:4" s="255" customFormat="1" ht="9.9499999999999993" customHeight="1">
      <c r="B159" s="256"/>
      <c r="C159" s="257" t="s">
        <v>333</v>
      </c>
      <c r="D159" s="257"/>
    </row>
    <row r="160" spans="1:4" s="255" customFormat="1" ht="9.9499999999999993" customHeight="1">
      <c r="B160" s="256"/>
      <c r="C160" s="257" t="s">
        <v>334</v>
      </c>
      <c r="D160" s="257"/>
    </row>
    <row r="161" spans="1:3" s="258" customFormat="1" ht="9.9499999999999993" customHeight="1">
      <c r="B161" s="259"/>
      <c r="C161" s="257"/>
    </row>
    <row r="162" spans="1:3" s="255" customFormat="1" ht="9.9499999999999993" customHeight="1">
      <c r="A162" s="255" t="s">
        <v>198</v>
      </c>
      <c r="C162" s="258"/>
    </row>
    <row r="163" spans="1:3" s="255" customFormat="1" ht="9.9499999999999993" customHeight="1">
      <c r="A163" s="255" t="s">
        <v>199</v>
      </c>
      <c r="B163" s="256">
        <v>1</v>
      </c>
    </row>
    <row r="164" spans="1:3" s="255" customFormat="1" ht="9.9499999999999993" customHeight="1">
      <c r="A164" s="255" t="s">
        <v>210</v>
      </c>
      <c r="B164" s="256">
        <v>1</v>
      </c>
      <c r="C164" s="255" t="s">
        <v>241</v>
      </c>
    </row>
    <row r="165" spans="1:3" s="255" customFormat="1" ht="9.9499999999999993" customHeight="1">
      <c r="A165" s="255" t="s">
        <v>211</v>
      </c>
      <c r="B165" s="256">
        <v>0.8</v>
      </c>
      <c r="C165" s="255" t="s">
        <v>200</v>
      </c>
    </row>
    <row r="166" spans="1:3" s="255" customFormat="1" ht="9.9499999999999993" customHeight="1">
      <c r="A166" s="255" t="s">
        <v>212</v>
      </c>
      <c r="B166" s="256">
        <v>1</v>
      </c>
      <c r="C166" s="255" t="s">
        <v>201</v>
      </c>
    </row>
    <row r="167" spans="1:3" s="255" customFormat="1" ht="9.9499999999999993" customHeight="1">
      <c r="A167" s="255" t="s">
        <v>213</v>
      </c>
      <c r="B167" s="256">
        <v>1</v>
      </c>
      <c r="C167" s="255" t="s">
        <v>202</v>
      </c>
    </row>
    <row r="168" spans="1:3" s="255" customFormat="1" ht="9.9499999999999993" customHeight="1">
      <c r="A168" s="255" t="s">
        <v>214</v>
      </c>
      <c r="B168" s="256">
        <v>1</v>
      </c>
      <c r="C168" s="255" t="s">
        <v>203</v>
      </c>
    </row>
    <row r="169" spans="1:3" s="255" customFormat="1" ht="9.9499999999999993" customHeight="1">
      <c r="A169" s="255" t="s">
        <v>215</v>
      </c>
      <c r="B169" s="256">
        <v>1.2</v>
      </c>
      <c r="C169" s="255" t="s">
        <v>204</v>
      </c>
    </row>
    <row r="170" spans="1:3" s="255" customFormat="1" ht="9.9499999999999993" customHeight="1">
      <c r="A170" s="255" t="s">
        <v>216</v>
      </c>
      <c r="B170" s="256">
        <v>0.7</v>
      </c>
      <c r="C170" s="255" t="s">
        <v>205</v>
      </c>
    </row>
    <row r="171" spans="1:3" s="255" customFormat="1" ht="9.9499999999999993" customHeight="1">
      <c r="A171" s="255" t="s">
        <v>217</v>
      </c>
      <c r="B171" s="256">
        <v>1</v>
      </c>
      <c r="C171" s="255" t="s">
        <v>206</v>
      </c>
    </row>
    <row r="172" spans="1:3" s="255" customFormat="1" ht="9.9499999999999993" customHeight="1">
      <c r="A172" s="255" t="s">
        <v>218</v>
      </c>
      <c r="B172" s="256">
        <v>0.5</v>
      </c>
      <c r="C172" s="255" t="s">
        <v>207</v>
      </c>
    </row>
    <row r="173" spans="1:3" s="255" customFormat="1" ht="9.9499999999999993" customHeight="1">
      <c r="A173" s="255" t="s">
        <v>219</v>
      </c>
      <c r="B173" s="256">
        <v>0.8</v>
      </c>
      <c r="C173" s="255" t="s">
        <v>208</v>
      </c>
    </row>
    <row r="174" spans="1:3" s="255" customFormat="1" ht="9.9499999999999993" customHeight="1">
      <c r="B174" s="256"/>
      <c r="C174" s="255" t="s">
        <v>209</v>
      </c>
    </row>
    <row r="175" spans="1:3" s="255" customFormat="1" ht="9.9499999999999993" customHeight="1">
      <c r="B175" s="256"/>
    </row>
    <row r="176" spans="1:3" s="255" customFormat="1" ht="9.9499999999999993" customHeight="1">
      <c r="B176" s="256"/>
    </row>
    <row r="177" spans="2:2" s="255" customFormat="1" ht="9.9499999999999993" customHeight="1">
      <c r="B177" s="256"/>
    </row>
    <row r="178" spans="2:2" s="255" customFormat="1" ht="9.9499999999999993" customHeight="1">
      <c r="B178" s="256"/>
    </row>
    <row r="179" spans="2:2" s="255" customFormat="1" ht="9.9499999999999993" customHeight="1">
      <c r="B179" s="256"/>
    </row>
    <row r="180" spans="2:2" s="255" customFormat="1" ht="9.9499999999999993" customHeight="1">
      <c r="B180" s="256"/>
    </row>
    <row r="181" spans="2:2" s="255" customFormat="1" ht="9.9499999999999993" customHeight="1">
      <c r="B181" s="256"/>
    </row>
    <row r="182" spans="2:2" s="255" customFormat="1" ht="9.9499999999999993" customHeight="1">
      <c r="B182" s="256"/>
    </row>
    <row r="183" spans="2:2" s="255" customFormat="1" ht="9.9499999999999993" customHeight="1">
      <c r="B183" s="256"/>
    </row>
    <row r="184" spans="2:2" s="255" customFormat="1" ht="9.9499999999999993" customHeight="1">
      <c r="B184" s="256"/>
    </row>
    <row r="185" spans="2:2" s="255" customFormat="1" ht="9.9499999999999993" customHeight="1"/>
    <row r="186" spans="2:2" s="255" customFormat="1" ht="9.9499999999999993" customHeight="1">
      <c r="B186" t="s">
        <v>243</v>
      </c>
    </row>
    <row r="187" spans="2:2" s="255" customFormat="1" ht="9.9499999999999993" customHeight="1">
      <c r="B187" t="s">
        <v>244</v>
      </c>
    </row>
    <row r="188" spans="2:2" s="255" customFormat="1" ht="9.9499999999999993" customHeight="1">
      <c r="B188" t="s">
        <v>245</v>
      </c>
    </row>
    <row r="189" spans="2:2" s="255" customFormat="1" ht="9.9499999999999993" customHeight="1">
      <c r="B189" t="s">
        <v>246</v>
      </c>
    </row>
    <row r="190" spans="2:2" s="255" customFormat="1" ht="9.9499999999999993" customHeight="1">
      <c r="B190" s="256"/>
    </row>
    <row r="191" spans="2:2" s="255" customFormat="1" ht="9.9499999999999993" customHeight="1">
      <c r="B191" s="256"/>
    </row>
    <row r="192" spans="2:2" s="255" customFormat="1" ht="9.9499999999999993" customHeight="1">
      <c r="B192" s="8" t="s">
        <v>498</v>
      </c>
    </row>
    <row r="193" spans="2:2" s="255" customFormat="1" ht="9.9499999999999993" customHeight="1">
      <c r="B193" s="8" t="s">
        <v>496</v>
      </c>
    </row>
    <row r="194" spans="2:2" s="255" customFormat="1" ht="9.9499999999999993" customHeight="1">
      <c r="B194" s="8"/>
    </row>
    <row r="195" spans="2:2" s="255" customFormat="1" ht="9.9499999999999993" customHeight="1">
      <c r="B195" s="8"/>
    </row>
    <row r="196" spans="2:2" s="255" customFormat="1" ht="9.9499999999999993" customHeight="1">
      <c r="B196" s="8"/>
    </row>
    <row r="197" spans="2:2" s="255" customFormat="1" ht="9.9499999999999993" customHeight="1">
      <c r="B197" s="8"/>
    </row>
    <row r="198" spans="2:2" s="255" customFormat="1" ht="9.9499999999999993" customHeight="1">
      <c r="B198" s="8"/>
    </row>
    <row r="199" spans="2:2" s="255" customFormat="1" ht="9.9499999999999993" customHeight="1">
      <c r="B199" s="8"/>
    </row>
    <row r="200" spans="2:2" s="255" customFormat="1" ht="9.9499999999999993" customHeight="1">
      <c r="B200" s="8"/>
    </row>
    <row r="201" spans="2:2" s="255" customFormat="1" ht="9.9499999999999993" customHeight="1">
      <c r="B201" s="8"/>
    </row>
    <row r="202" spans="2:2" s="255" customFormat="1" ht="9.9499999999999993" customHeight="1">
      <c r="B202" s="8"/>
    </row>
    <row r="203" spans="2:2" s="255" customFormat="1" ht="9.9499999999999993" customHeight="1">
      <c r="B203" s="8"/>
    </row>
    <row r="204" spans="2:2" s="255" customFormat="1" ht="9.9499999999999993" customHeight="1">
      <c r="B204" s="8"/>
    </row>
    <row r="205" spans="2:2" s="255" customFormat="1" ht="9.9499999999999993" customHeight="1">
      <c r="B205" s="8"/>
    </row>
    <row r="206" spans="2:2" s="255" customFormat="1" ht="9.9499999999999993" customHeight="1">
      <c r="B206" s="8"/>
    </row>
    <row r="207" spans="2:2" s="255" customFormat="1" ht="9.9499999999999993" customHeight="1">
      <c r="B207" s="8"/>
    </row>
    <row r="208" spans="2:2" s="255" customFormat="1" ht="9.9499999999999993" customHeight="1">
      <c r="B208" s="8"/>
    </row>
    <row r="209" spans="2:2" s="255" customFormat="1" ht="9.9499999999999993" customHeight="1">
      <c r="B209" s="8"/>
    </row>
    <row r="210" spans="2:2" s="255" customFormat="1" ht="9.9499999999999993" customHeight="1">
      <c r="B210" s="8"/>
    </row>
    <row r="211" spans="2:2" s="255" customFormat="1" ht="9.9499999999999993" customHeight="1">
      <c r="B211" s="8"/>
    </row>
    <row r="212" spans="2:2" s="255" customFormat="1" ht="9.9499999999999993" customHeight="1">
      <c r="B212" s="8"/>
    </row>
    <row r="213" spans="2:2" s="255" customFormat="1" ht="9.9499999999999993" customHeight="1">
      <c r="B213" s="8"/>
    </row>
    <row r="214" spans="2:2" s="255" customFormat="1" ht="9.9499999999999993" customHeight="1">
      <c r="B214" s="8"/>
    </row>
    <row r="215" spans="2:2" s="255" customFormat="1" ht="9.9499999999999993" customHeight="1">
      <c r="B215" s="8"/>
    </row>
    <row r="216" spans="2:2" s="255" customFormat="1" ht="9.9499999999999993" customHeight="1">
      <c r="B216" s="8"/>
    </row>
    <row r="217" spans="2:2" s="255" customFormat="1" ht="9.9499999999999993" customHeight="1">
      <c r="B217" s="8"/>
    </row>
    <row r="218" spans="2:2" s="255" customFormat="1" ht="9.9499999999999993" customHeight="1">
      <c r="B218" s="8"/>
    </row>
    <row r="219" spans="2:2" s="255" customFormat="1" ht="9.9499999999999993" customHeight="1">
      <c r="B219" s="8"/>
    </row>
    <row r="220" spans="2:2" s="255" customFormat="1" ht="9.9499999999999993" customHeight="1">
      <c r="B220" s="8"/>
    </row>
    <row r="221" spans="2:2" s="255" customFormat="1" ht="9.9499999999999993" customHeight="1">
      <c r="B221" s="8"/>
    </row>
    <row r="222" spans="2:2" s="255" customFormat="1" ht="9.9499999999999993" customHeight="1">
      <c r="B222" s="8"/>
    </row>
    <row r="223" spans="2:2" s="255" customFormat="1" ht="9.9499999999999993" customHeight="1">
      <c r="B223" s="8"/>
    </row>
    <row r="224" spans="2:2" s="255" customFormat="1" ht="9.9499999999999993" customHeight="1">
      <c r="B224" s="8"/>
    </row>
    <row r="225" spans="2:4" s="255" customFormat="1" ht="9.9499999999999993" customHeight="1">
      <c r="B225" s="8"/>
    </row>
    <row r="226" spans="2:4" ht="9.9499999999999993" customHeight="1">
      <c r="B226" s="8"/>
      <c r="C226" s="255"/>
      <c r="D226" s="16"/>
    </row>
    <row r="227" spans="2:4" ht="9.9499999999999993" customHeight="1">
      <c r="B227" s="8"/>
      <c r="C227" s="16"/>
      <c r="D227" s="16"/>
    </row>
    <row r="228" spans="2:4" ht="9.9499999999999993" customHeight="1">
      <c r="B228" s="8"/>
      <c r="C228" s="16"/>
      <c r="D228" s="16"/>
    </row>
    <row r="229" spans="2:4" ht="9.9499999999999993" customHeight="1">
      <c r="B229" s="8"/>
      <c r="C229" s="16"/>
      <c r="D229" s="16"/>
    </row>
    <row r="230" spans="2:4" ht="9.9499999999999993" customHeight="1">
      <c r="B230" s="8"/>
      <c r="C230" s="16"/>
      <c r="D230" s="16"/>
    </row>
    <row r="231" spans="2:4" ht="9.9499999999999993" customHeight="1">
      <c r="B231" s="8"/>
      <c r="C231" s="16"/>
      <c r="D231" s="16"/>
    </row>
    <row r="232" spans="2:4" ht="9.9499999999999993" customHeight="1">
      <c r="B232" s="8"/>
      <c r="C232" s="16"/>
      <c r="D232" s="16"/>
    </row>
    <row r="233" spans="2:4" ht="9.9499999999999993" customHeight="1">
      <c r="B233" s="8"/>
      <c r="C233" s="16"/>
      <c r="D233" s="16"/>
    </row>
    <row r="234" spans="2:4" ht="9.9499999999999993" customHeight="1">
      <c r="B234" s="8"/>
      <c r="C234" s="16"/>
      <c r="D234" s="16"/>
    </row>
    <row r="235" spans="2:4" ht="9.9499999999999993" customHeight="1">
      <c r="B235" s="8"/>
      <c r="C235" s="16"/>
      <c r="D235" s="16"/>
    </row>
    <row r="236" spans="2:4" ht="9.9499999999999993" customHeight="1">
      <c r="B236" s="8"/>
      <c r="C236" s="16"/>
      <c r="D236" s="16"/>
    </row>
    <row r="237" spans="2:4" ht="9.9499999999999993" customHeight="1">
      <c r="B237" s="8"/>
      <c r="C237" s="16"/>
      <c r="D237" s="16"/>
    </row>
    <row r="238" spans="2:4" ht="9.9499999999999993" customHeight="1">
      <c r="B238" s="8"/>
      <c r="C238" s="16"/>
      <c r="D238" s="16"/>
    </row>
    <row r="239" spans="2:4" ht="9.9499999999999993" customHeight="1">
      <c r="B239" s="8"/>
      <c r="C239" s="16"/>
      <c r="D239" s="16"/>
    </row>
    <row r="240" spans="2:4" ht="9.9499999999999993" customHeight="1">
      <c r="B240" s="8"/>
      <c r="C240" s="16"/>
      <c r="D240" s="16"/>
    </row>
    <row r="241" spans="2:4" ht="9.9499999999999993" customHeight="1">
      <c r="B241" s="8"/>
      <c r="C241" s="16"/>
      <c r="D241" s="16"/>
    </row>
    <row r="242" spans="2:4" ht="9.9499999999999993" customHeight="1">
      <c r="B242" s="8"/>
      <c r="C242" s="16"/>
      <c r="D242" s="16"/>
    </row>
    <row r="243" spans="2:4" ht="9.9499999999999993" customHeight="1">
      <c r="B243" s="8"/>
      <c r="C243" s="16"/>
      <c r="D243" s="16"/>
    </row>
    <row r="244" spans="2:4" ht="9.9499999999999993" customHeight="1">
      <c r="B244" s="8"/>
      <c r="C244" s="16"/>
      <c r="D244" s="16"/>
    </row>
    <row r="245" spans="2:4" ht="9.9499999999999993" customHeight="1">
      <c r="B245" s="8"/>
      <c r="C245" s="16"/>
      <c r="D245" s="16"/>
    </row>
    <row r="246" spans="2:4" ht="9.9499999999999993" customHeight="1">
      <c r="B246" s="8"/>
      <c r="C246" s="16"/>
      <c r="D246" s="16"/>
    </row>
    <row r="247" spans="2:4" ht="9.9499999999999993" customHeight="1">
      <c r="B247" s="8"/>
      <c r="C247" s="16"/>
      <c r="D247" s="16"/>
    </row>
    <row r="248" spans="2:4" ht="9.9499999999999993" customHeight="1">
      <c r="B248" s="8"/>
      <c r="C248" s="16"/>
      <c r="D248" s="16"/>
    </row>
    <row r="249" spans="2:4" ht="9.9499999999999993" customHeight="1">
      <c r="B249" s="8"/>
      <c r="C249" s="16"/>
      <c r="D249" s="16"/>
    </row>
    <row r="250" spans="2:4" ht="9.9499999999999993" customHeight="1">
      <c r="B250" s="8"/>
      <c r="C250" s="16"/>
      <c r="D250" s="16"/>
    </row>
    <row r="251" spans="2:4" ht="9.9499999999999993" customHeight="1">
      <c r="B251" s="8"/>
      <c r="C251" s="16"/>
      <c r="D251" s="16"/>
    </row>
    <row r="252" spans="2:4" ht="9.9499999999999993" customHeight="1">
      <c r="B252" s="8"/>
      <c r="C252" s="16"/>
      <c r="D252" s="16"/>
    </row>
    <row r="253" spans="2:4" ht="9.9499999999999993" customHeight="1">
      <c r="B253" s="8"/>
      <c r="C253" s="16"/>
      <c r="D253" s="16"/>
    </row>
    <row r="254" spans="2:4" ht="9.9499999999999993" customHeight="1">
      <c r="B254" s="8"/>
      <c r="C254" s="16"/>
      <c r="D254" s="16"/>
    </row>
    <row r="255" spans="2:4" ht="9.9499999999999993" customHeight="1">
      <c r="B255" s="8"/>
      <c r="C255" s="16"/>
      <c r="D255" s="16"/>
    </row>
    <row r="256" spans="2:4" ht="9.9499999999999993" customHeight="1">
      <c r="B256" s="8"/>
      <c r="C256" s="16"/>
      <c r="D256" s="16"/>
    </row>
    <row r="257" spans="2:4" ht="9.9499999999999993" customHeight="1">
      <c r="B257" s="8"/>
      <c r="C257" s="16"/>
      <c r="D257" s="16"/>
    </row>
    <row r="258" spans="2:4" ht="9.9499999999999993" customHeight="1">
      <c r="B258" s="8"/>
      <c r="C258" s="16"/>
      <c r="D258" s="16"/>
    </row>
    <row r="259" spans="2:4" ht="9.9499999999999993" customHeight="1">
      <c r="B259" s="8"/>
      <c r="C259" s="16"/>
      <c r="D259" s="16"/>
    </row>
    <row r="260" spans="2:4" ht="9.9499999999999993" customHeight="1">
      <c r="B260" s="8"/>
      <c r="C260" s="16"/>
      <c r="D260" s="16"/>
    </row>
    <row r="261" spans="2:4" ht="9.9499999999999993" customHeight="1">
      <c r="B261" s="8"/>
      <c r="C261" s="16"/>
      <c r="D261" s="16"/>
    </row>
    <row r="262" spans="2:4" ht="9.9499999999999993" customHeight="1">
      <c r="B262" s="8"/>
      <c r="C262" s="16"/>
      <c r="D262" s="16"/>
    </row>
    <row r="263" spans="2:4" ht="9.9499999999999993" customHeight="1">
      <c r="B263" s="8"/>
      <c r="C263" s="16"/>
      <c r="D263" s="16"/>
    </row>
    <row r="264" spans="2:4" ht="9.9499999999999993" customHeight="1">
      <c r="B264" s="8"/>
      <c r="C264" s="16"/>
      <c r="D264" s="16"/>
    </row>
    <row r="265" spans="2:4" ht="9.9499999999999993" customHeight="1">
      <c r="B265" s="8"/>
      <c r="C265" s="16"/>
      <c r="D265" s="16"/>
    </row>
    <row r="266" spans="2:4" ht="9.9499999999999993" customHeight="1">
      <c r="B266" s="8"/>
      <c r="C266" s="16"/>
      <c r="D266" s="16"/>
    </row>
    <row r="267" spans="2:4" ht="9.9499999999999993" customHeight="1">
      <c r="B267" s="8"/>
      <c r="C267" s="16"/>
      <c r="D267" s="16"/>
    </row>
    <row r="268" spans="2:4" ht="9.9499999999999993" customHeight="1">
      <c r="B268" s="8"/>
      <c r="C268" s="16"/>
      <c r="D268" s="16"/>
    </row>
    <row r="269" spans="2:4" ht="9.9499999999999993" customHeight="1">
      <c r="B269" s="8"/>
      <c r="C269" s="16"/>
      <c r="D269" s="16"/>
    </row>
    <row r="270" spans="2:4" ht="9.9499999999999993" customHeight="1">
      <c r="B270" s="8"/>
      <c r="C270" s="16"/>
      <c r="D270" s="16"/>
    </row>
    <row r="271" spans="2:4" ht="9.9499999999999993" customHeight="1">
      <c r="B271" s="8"/>
      <c r="C271" s="16"/>
      <c r="D271" s="16"/>
    </row>
    <row r="272" spans="2:4" ht="9.9499999999999993" customHeight="1">
      <c r="B272" s="8"/>
      <c r="C272" s="16"/>
      <c r="D272" s="16"/>
    </row>
    <row r="273" spans="2:4" ht="9.9499999999999993" customHeight="1">
      <c r="B273" s="8"/>
      <c r="C273" s="16"/>
      <c r="D273" s="16"/>
    </row>
    <row r="274" spans="2:4" ht="9.9499999999999993" customHeight="1">
      <c r="B274" s="8"/>
      <c r="C274" s="16"/>
      <c r="D274" s="16"/>
    </row>
    <row r="275" spans="2:4" ht="9.9499999999999993" customHeight="1">
      <c r="B275" s="8"/>
      <c r="C275" s="16"/>
      <c r="D275" s="16"/>
    </row>
    <row r="276" spans="2:4" ht="9.9499999999999993" customHeight="1">
      <c r="B276" s="8"/>
      <c r="C276" s="16"/>
      <c r="D276" s="16"/>
    </row>
    <row r="277" spans="2:4" ht="9.9499999999999993" customHeight="1">
      <c r="B277" s="8"/>
      <c r="C277" s="16"/>
      <c r="D277" s="16"/>
    </row>
    <row r="278" spans="2:4" ht="9.9499999999999993" customHeight="1">
      <c r="B278" s="8"/>
      <c r="C278" s="16"/>
      <c r="D278" s="16"/>
    </row>
    <row r="279" spans="2:4" ht="9.9499999999999993" customHeight="1">
      <c r="B279" s="8"/>
      <c r="C279" s="16"/>
      <c r="D279" s="16"/>
    </row>
    <row r="280" spans="2:4" ht="9.9499999999999993" customHeight="1">
      <c r="B280" s="8"/>
      <c r="C280" s="16"/>
      <c r="D280" s="16"/>
    </row>
    <row r="281" spans="2:4" ht="9.9499999999999993" customHeight="1">
      <c r="B281" s="8"/>
      <c r="C281" s="16"/>
      <c r="D281" s="16"/>
    </row>
    <row r="282" spans="2:4" ht="9.9499999999999993" customHeight="1">
      <c r="B282" s="8"/>
      <c r="C282" s="16"/>
      <c r="D282" s="16"/>
    </row>
    <row r="283" spans="2:4" ht="9.9499999999999993" customHeight="1">
      <c r="B283" s="8"/>
      <c r="C283" s="16"/>
      <c r="D283" s="16"/>
    </row>
    <row r="284" spans="2:4" ht="9.9499999999999993" customHeight="1">
      <c r="B284" s="8"/>
      <c r="C284" s="16"/>
      <c r="D284" s="16"/>
    </row>
    <row r="285" spans="2:4" ht="9.9499999999999993" customHeight="1">
      <c r="B285" s="8"/>
      <c r="C285" s="16"/>
      <c r="D285" s="16"/>
    </row>
    <row r="286" spans="2:4" ht="9.9499999999999993" customHeight="1">
      <c r="B286" s="8"/>
      <c r="C286" s="16"/>
      <c r="D286" s="16"/>
    </row>
    <row r="287" spans="2:4" ht="9.9499999999999993" customHeight="1">
      <c r="B287" s="8"/>
      <c r="C287" s="16"/>
      <c r="D287" s="16"/>
    </row>
    <row r="288" spans="2:4" ht="9.9499999999999993" customHeight="1">
      <c r="B288" s="8"/>
      <c r="C288" s="16"/>
      <c r="D288" s="16"/>
    </row>
    <row r="289" spans="2:4" ht="9.9499999999999993" customHeight="1">
      <c r="B289" s="8"/>
      <c r="C289" s="16"/>
      <c r="D289" s="16"/>
    </row>
    <row r="290" spans="2:4" ht="9.9499999999999993" customHeight="1">
      <c r="B290" s="8"/>
      <c r="C290" s="16"/>
      <c r="D290" s="16"/>
    </row>
    <row r="291" spans="2:4" ht="9.9499999999999993" customHeight="1">
      <c r="B291" s="8"/>
      <c r="C291" s="16"/>
      <c r="D291" s="16"/>
    </row>
    <row r="292" spans="2:4" ht="9.9499999999999993" customHeight="1">
      <c r="B292" s="8"/>
      <c r="C292" s="16"/>
      <c r="D292" s="16"/>
    </row>
    <row r="293" spans="2:4" ht="9.9499999999999993" customHeight="1">
      <c r="B293" s="8"/>
      <c r="C293" s="16"/>
      <c r="D293" s="16"/>
    </row>
    <row r="294" spans="2:4" ht="9.9499999999999993" customHeight="1">
      <c r="B294" s="8"/>
      <c r="C294" s="16"/>
      <c r="D294" s="16"/>
    </row>
    <row r="295" spans="2:4" ht="9.9499999999999993" customHeight="1">
      <c r="B295" s="8"/>
      <c r="C295" s="16"/>
      <c r="D295" s="16"/>
    </row>
    <row r="296" spans="2:4" ht="9.9499999999999993" customHeight="1">
      <c r="B296" s="8"/>
      <c r="C296" s="16"/>
      <c r="D296" s="16"/>
    </row>
    <row r="297" spans="2:4" ht="9.9499999999999993" customHeight="1">
      <c r="B297" s="8"/>
      <c r="C297" s="16"/>
      <c r="D297" s="16"/>
    </row>
    <row r="298" spans="2:4" ht="9.9499999999999993" customHeight="1">
      <c r="B298" s="8"/>
      <c r="C298" s="16"/>
      <c r="D298" s="16"/>
    </row>
    <row r="299" spans="2:4" ht="9.9499999999999993" customHeight="1">
      <c r="B299" s="8"/>
      <c r="C299" s="16"/>
      <c r="D299" s="16"/>
    </row>
    <row r="300" spans="2:4" ht="9.9499999999999993" customHeight="1">
      <c r="B300" s="8"/>
      <c r="C300" s="16"/>
      <c r="D300" s="16"/>
    </row>
    <row r="301" spans="2:4" ht="9.9499999999999993" customHeight="1">
      <c r="B301" s="8"/>
      <c r="C301" s="16"/>
      <c r="D301" s="16"/>
    </row>
    <row r="302" spans="2:4" ht="9.9499999999999993" customHeight="1">
      <c r="B302" s="8"/>
      <c r="C302" s="16"/>
      <c r="D302" s="16"/>
    </row>
    <row r="303" spans="2:4" ht="9.9499999999999993" customHeight="1">
      <c r="B303" s="8"/>
      <c r="C303" s="16"/>
      <c r="D303" s="16"/>
    </row>
    <row r="304" spans="2:4" ht="9.9499999999999993" customHeight="1">
      <c r="B304" s="8"/>
      <c r="C304" s="16"/>
      <c r="D304" s="16"/>
    </row>
    <row r="305" spans="2:4" ht="9.9499999999999993" customHeight="1">
      <c r="B305" s="8"/>
      <c r="C305" s="16"/>
      <c r="D305" s="16"/>
    </row>
    <row r="306" spans="2:4" ht="9.9499999999999993" customHeight="1">
      <c r="B306" s="8"/>
      <c r="C306" s="16"/>
      <c r="D306" s="16"/>
    </row>
    <row r="307" spans="2:4" ht="9.9499999999999993" customHeight="1">
      <c r="B307" s="8"/>
      <c r="C307" s="16"/>
      <c r="D307" s="16"/>
    </row>
    <row r="308" spans="2:4" ht="9.9499999999999993" customHeight="1">
      <c r="B308" s="8"/>
      <c r="C308" s="16"/>
      <c r="D308" s="16"/>
    </row>
    <row r="309" spans="2:4" ht="9.9499999999999993" customHeight="1">
      <c r="B309" s="8"/>
      <c r="C309" s="16"/>
      <c r="D309" s="16"/>
    </row>
    <row r="310" spans="2:4" ht="9.9499999999999993" customHeight="1">
      <c r="B310" s="8"/>
      <c r="C310" s="16"/>
      <c r="D310" s="16"/>
    </row>
    <row r="311" spans="2:4" ht="9.9499999999999993" customHeight="1">
      <c r="B311" s="8"/>
      <c r="C311" s="16"/>
      <c r="D311" s="16"/>
    </row>
    <row r="312" spans="2:4" ht="9.9499999999999993" customHeight="1">
      <c r="B312" s="8"/>
      <c r="C312" s="16"/>
      <c r="D312" s="16"/>
    </row>
    <row r="313" spans="2:4" ht="9.9499999999999993" customHeight="1">
      <c r="B313" s="8"/>
      <c r="C313" s="16"/>
      <c r="D313" s="16"/>
    </row>
    <row r="314" spans="2:4" ht="9.9499999999999993" customHeight="1">
      <c r="B314" s="8"/>
      <c r="C314" s="16"/>
      <c r="D314" s="16"/>
    </row>
    <row r="315" spans="2:4" ht="9.9499999999999993" customHeight="1">
      <c r="B315" s="8"/>
      <c r="C315" s="16"/>
      <c r="D315" s="16"/>
    </row>
    <row r="316" spans="2:4" ht="9.9499999999999993" customHeight="1">
      <c r="B316" s="8"/>
      <c r="C316" s="16"/>
      <c r="D316" s="16"/>
    </row>
    <row r="317" spans="2:4" ht="9.9499999999999993" customHeight="1">
      <c r="B317" s="8"/>
      <c r="C317" s="16"/>
      <c r="D317" s="16"/>
    </row>
    <row r="318" spans="2:4" ht="9.9499999999999993" customHeight="1">
      <c r="B318" s="8"/>
      <c r="C318" s="16"/>
      <c r="D318" s="16"/>
    </row>
    <row r="319" spans="2:4" ht="9.9499999999999993" customHeight="1">
      <c r="B319" s="8"/>
      <c r="C319" s="16"/>
      <c r="D319" s="16"/>
    </row>
    <row r="320" spans="2:4" ht="9.9499999999999993" customHeight="1">
      <c r="B320" s="8"/>
      <c r="C320" s="16"/>
      <c r="D320" s="16"/>
    </row>
    <row r="321" spans="2:4" ht="9.9499999999999993" customHeight="1">
      <c r="B321" s="8"/>
      <c r="C321" s="16"/>
      <c r="D321" s="16"/>
    </row>
    <row r="322" spans="2:4" ht="9.9499999999999993" customHeight="1">
      <c r="B322" s="8"/>
      <c r="C322" s="16"/>
      <c r="D322" s="16"/>
    </row>
    <row r="323" spans="2:4" ht="9.9499999999999993" customHeight="1">
      <c r="B323" s="8"/>
      <c r="C323" s="16"/>
      <c r="D323" s="16"/>
    </row>
    <row r="324" spans="2:4" ht="9.9499999999999993" customHeight="1">
      <c r="B324" s="8"/>
      <c r="C324" s="16"/>
      <c r="D324" s="16"/>
    </row>
    <row r="325" spans="2:4" ht="9.9499999999999993" customHeight="1">
      <c r="B325" s="8"/>
      <c r="C325" s="16"/>
      <c r="D325" s="16"/>
    </row>
    <row r="326" spans="2:4" ht="9.9499999999999993" customHeight="1">
      <c r="B326" s="8"/>
      <c r="C326" s="16"/>
      <c r="D326" s="16"/>
    </row>
    <row r="327" spans="2:4" ht="9.9499999999999993" customHeight="1">
      <c r="B327" s="8"/>
      <c r="C327" s="16"/>
      <c r="D327" s="16"/>
    </row>
    <row r="328" spans="2:4" ht="9.9499999999999993" customHeight="1">
      <c r="B328" s="8"/>
      <c r="C328" s="16"/>
      <c r="D328" s="16"/>
    </row>
    <row r="329" spans="2:4" ht="9.9499999999999993" customHeight="1">
      <c r="B329" s="8"/>
      <c r="C329" s="16"/>
      <c r="D329" s="16"/>
    </row>
    <row r="330" spans="2:4" ht="9.9499999999999993" customHeight="1">
      <c r="B330" s="8"/>
      <c r="C330" s="16"/>
      <c r="D330" s="16"/>
    </row>
    <row r="331" spans="2:4" ht="9.9499999999999993" customHeight="1">
      <c r="B331" s="8"/>
      <c r="C331" s="16"/>
      <c r="D331" s="16"/>
    </row>
    <row r="332" spans="2:4" ht="9.9499999999999993" customHeight="1">
      <c r="B332" s="8"/>
      <c r="C332" s="16"/>
      <c r="D332" s="16"/>
    </row>
    <row r="333" spans="2:4" ht="9.9499999999999993" customHeight="1">
      <c r="B333" s="8"/>
      <c r="C333" s="16"/>
      <c r="D333" s="16"/>
    </row>
    <row r="334" spans="2:4" ht="9.9499999999999993" customHeight="1">
      <c r="B334" s="8"/>
      <c r="C334" s="16"/>
      <c r="D334" s="16"/>
    </row>
    <row r="335" spans="2:4" ht="9.9499999999999993" customHeight="1">
      <c r="B335" s="8"/>
      <c r="C335" s="16"/>
      <c r="D335" s="16"/>
    </row>
    <row r="336" spans="2:4" ht="9.9499999999999993" customHeight="1">
      <c r="B336" s="8"/>
      <c r="C336" s="16"/>
      <c r="D336" s="16"/>
    </row>
    <row r="337" spans="2:4" ht="9.9499999999999993" customHeight="1">
      <c r="B337" s="8"/>
      <c r="C337" s="16"/>
      <c r="D337" s="16"/>
    </row>
    <row r="338" spans="2:4" ht="9.9499999999999993" customHeight="1">
      <c r="B338" s="8"/>
      <c r="C338" s="16"/>
      <c r="D338" s="16"/>
    </row>
    <row r="339" spans="2:4" ht="9.9499999999999993" customHeight="1">
      <c r="B339" s="8"/>
      <c r="C339" s="16"/>
      <c r="D339" s="16"/>
    </row>
    <row r="340" spans="2:4" ht="9.9499999999999993" customHeight="1">
      <c r="B340" s="8"/>
      <c r="C340" s="16"/>
      <c r="D340" s="16"/>
    </row>
    <row r="341" spans="2:4" ht="9.9499999999999993" customHeight="1">
      <c r="B341" s="8"/>
      <c r="C341" s="16"/>
      <c r="D341" s="16"/>
    </row>
    <row r="342" spans="2:4" ht="9.9499999999999993" customHeight="1">
      <c r="B342" s="8"/>
      <c r="C342" s="16"/>
      <c r="D342" s="16"/>
    </row>
    <row r="343" spans="2:4" ht="9.9499999999999993" customHeight="1">
      <c r="B343" s="8"/>
      <c r="C343" s="16"/>
      <c r="D343" s="16"/>
    </row>
    <row r="344" spans="2:4" ht="9.9499999999999993" customHeight="1">
      <c r="B344" s="8"/>
      <c r="C344" s="16"/>
      <c r="D344" s="16"/>
    </row>
    <row r="345" spans="2:4" ht="9.9499999999999993" customHeight="1">
      <c r="B345" s="8"/>
      <c r="C345" s="16"/>
      <c r="D345" s="16"/>
    </row>
    <row r="346" spans="2:4" ht="9.9499999999999993" customHeight="1">
      <c r="B346" s="8"/>
      <c r="C346" s="16"/>
      <c r="D346" s="16"/>
    </row>
    <row r="347" spans="2:4" ht="9.9499999999999993" customHeight="1">
      <c r="B347" s="8"/>
      <c r="C347" s="16"/>
      <c r="D347" s="16"/>
    </row>
    <row r="348" spans="2:4" ht="9.9499999999999993" customHeight="1">
      <c r="B348" s="8"/>
      <c r="C348" s="16"/>
      <c r="D348" s="16"/>
    </row>
    <row r="349" spans="2:4" ht="9.9499999999999993" customHeight="1">
      <c r="B349" s="8"/>
      <c r="C349" s="16"/>
      <c r="D349" s="16"/>
    </row>
    <row r="350" spans="2:4" ht="9.9499999999999993" customHeight="1">
      <c r="B350" s="8"/>
      <c r="C350" s="16"/>
      <c r="D350" s="16"/>
    </row>
    <row r="351" spans="2:4" ht="9.9499999999999993" customHeight="1">
      <c r="B351" s="8"/>
      <c r="C351" s="16"/>
      <c r="D351" s="16"/>
    </row>
    <row r="352" spans="2:4" ht="9.9499999999999993" customHeight="1">
      <c r="B352" s="8"/>
      <c r="C352" s="16"/>
      <c r="D352" s="16"/>
    </row>
    <row r="353" spans="2:4" ht="9.9499999999999993" customHeight="1">
      <c r="B353" s="8"/>
      <c r="C353" s="16"/>
      <c r="D353" s="16"/>
    </row>
    <row r="354" spans="2:4" ht="9.9499999999999993" customHeight="1">
      <c r="B354" s="8"/>
      <c r="C354" s="16"/>
      <c r="D354" s="16"/>
    </row>
    <row r="355" spans="2:4" ht="9.9499999999999993" customHeight="1">
      <c r="B355" s="8"/>
      <c r="C355" s="16"/>
      <c r="D355" s="16"/>
    </row>
    <row r="356" spans="2:4" ht="9.9499999999999993" customHeight="1">
      <c r="B356" s="8"/>
      <c r="C356" s="16"/>
      <c r="D356" s="16"/>
    </row>
    <row r="357" spans="2:4" ht="9.9499999999999993" customHeight="1">
      <c r="B357" s="8"/>
      <c r="C357" s="16"/>
      <c r="D357" s="16"/>
    </row>
    <row r="358" spans="2:4" ht="9.9499999999999993" customHeight="1">
      <c r="B358" s="8"/>
      <c r="C358" s="16"/>
      <c r="D358" s="16"/>
    </row>
    <row r="359" spans="2:4" ht="9.9499999999999993" customHeight="1">
      <c r="B359" s="8"/>
      <c r="C359" s="16"/>
      <c r="D359" s="16"/>
    </row>
    <row r="360" spans="2:4" ht="9.9499999999999993" customHeight="1">
      <c r="B360" s="8"/>
      <c r="C360" s="16"/>
      <c r="D360" s="16"/>
    </row>
    <row r="361" spans="2:4" ht="9.9499999999999993" customHeight="1">
      <c r="B361" s="8"/>
      <c r="C361" s="16"/>
      <c r="D361" s="16"/>
    </row>
    <row r="362" spans="2:4" ht="9.9499999999999993" customHeight="1">
      <c r="B362" s="8"/>
      <c r="C362" s="16"/>
      <c r="D362" s="16"/>
    </row>
    <row r="363" spans="2:4" ht="9.9499999999999993" customHeight="1">
      <c r="B363" s="8"/>
      <c r="C363" s="16"/>
      <c r="D363" s="16"/>
    </row>
    <row r="364" spans="2:4" ht="9.9499999999999993" customHeight="1">
      <c r="B364" s="8"/>
      <c r="C364" s="16"/>
      <c r="D364" s="16"/>
    </row>
    <row r="365" spans="2:4" ht="9.9499999999999993" customHeight="1">
      <c r="B365" s="8"/>
      <c r="C365" s="16"/>
      <c r="D365" s="16"/>
    </row>
    <row r="366" spans="2:4" ht="9.9499999999999993" customHeight="1">
      <c r="B366" s="8"/>
      <c r="C366" s="16"/>
      <c r="D366" s="16"/>
    </row>
    <row r="367" spans="2:4" ht="9.9499999999999993" customHeight="1">
      <c r="B367" s="8"/>
      <c r="C367" s="16"/>
      <c r="D367" s="16"/>
    </row>
    <row r="368" spans="2:4" ht="9.9499999999999993" customHeight="1">
      <c r="B368" s="8"/>
      <c r="C368" s="16"/>
      <c r="D368" s="16"/>
    </row>
    <row r="369" spans="2:4" ht="9.9499999999999993" customHeight="1">
      <c r="B369" s="8"/>
      <c r="C369" s="16"/>
      <c r="D369" s="16"/>
    </row>
    <row r="370" spans="2:4" ht="9.9499999999999993" customHeight="1">
      <c r="B370" s="8"/>
      <c r="C370" s="16"/>
      <c r="D370" s="16"/>
    </row>
    <row r="371" spans="2:4" ht="9.9499999999999993" customHeight="1">
      <c r="B371" s="8"/>
      <c r="C371" s="16"/>
      <c r="D371" s="16"/>
    </row>
    <row r="372" spans="2:4" ht="9.9499999999999993" customHeight="1">
      <c r="B372" s="8"/>
      <c r="C372" s="16"/>
      <c r="D372" s="16"/>
    </row>
    <row r="373" spans="2:4" ht="9.9499999999999993" customHeight="1">
      <c r="B373" s="8"/>
      <c r="C373" s="16"/>
      <c r="D373" s="16"/>
    </row>
    <row r="374" spans="2:4" ht="9.9499999999999993" customHeight="1">
      <c r="B374" s="8"/>
      <c r="C374" s="16"/>
      <c r="D374" s="16"/>
    </row>
    <row r="375" spans="2:4" ht="9.9499999999999993" customHeight="1">
      <c r="B375" s="8"/>
      <c r="C375" s="16"/>
      <c r="D375" s="16"/>
    </row>
    <row r="376" spans="2:4" ht="9.9499999999999993" customHeight="1">
      <c r="B376" s="8"/>
      <c r="C376" s="16"/>
      <c r="D376" s="16"/>
    </row>
    <row r="377" spans="2:4" ht="9.9499999999999993" customHeight="1">
      <c r="B377" s="8"/>
      <c r="C377" s="16"/>
      <c r="D377" s="16"/>
    </row>
    <row r="378" spans="2:4" ht="9.9499999999999993" customHeight="1">
      <c r="B378" s="8"/>
      <c r="C378" s="16"/>
      <c r="D378" s="16"/>
    </row>
    <row r="379" spans="2:4" ht="9.9499999999999993" customHeight="1">
      <c r="B379" s="8"/>
      <c r="C379" s="16"/>
      <c r="D379" s="16"/>
    </row>
    <row r="380" spans="2:4" ht="9.9499999999999993" customHeight="1">
      <c r="B380" s="8"/>
      <c r="C380" s="16"/>
      <c r="D380" s="16"/>
    </row>
    <row r="381" spans="2:4" ht="9.9499999999999993" customHeight="1">
      <c r="B381" s="8"/>
      <c r="C381" s="16"/>
      <c r="D381" s="16"/>
    </row>
    <row r="382" spans="2:4" ht="9.9499999999999993" customHeight="1">
      <c r="B382" s="8"/>
      <c r="C382" s="16"/>
      <c r="D382" s="16"/>
    </row>
    <row r="383" spans="2:4" ht="9.9499999999999993" customHeight="1">
      <c r="B383" s="8"/>
      <c r="C383" s="16"/>
      <c r="D383" s="16"/>
    </row>
    <row r="384" spans="2:4" ht="9.9499999999999993" customHeight="1">
      <c r="B384" s="8"/>
      <c r="C384" s="16"/>
      <c r="D384" s="16"/>
    </row>
    <row r="385" spans="2:4" ht="9.9499999999999993" customHeight="1">
      <c r="B385" s="8"/>
      <c r="C385" s="16"/>
      <c r="D385" s="16"/>
    </row>
    <row r="386" spans="2:4" ht="9.9499999999999993" customHeight="1">
      <c r="B386" s="8"/>
      <c r="C386" s="16"/>
      <c r="D386" s="16"/>
    </row>
    <row r="387" spans="2:4" ht="9.9499999999999993" customHeight="1">
      <c r="B387" s="8"/>
      <c r="C387" s="16"/>
      <c r="D387" s="16"/>
    </row>
    <row r="388" spans="2:4" ht="9.9499999999999993" customHeight="1">
      <c r="B388" s="8"/>
      <c r="C388" s="16"/>
      <c r="D388" s="16"/>
    </row>
    <row r="389" spans="2:4" ht="9.9499999999999993" customHeight="1">
      <c r="B389" s="8"/>
      <c r="C389" s="16"/>
      <c r="D389" s="16"/>
    </row>
    <row r="390" spans="2:4" ht="9.9499999999999993" customHeight="1">
      <c r="B390" s="8"/>
      <c r="C390" s="16"/>
      <c r="D390" s="16"/>
    </row>
    <row r="391" spans="2:4" ht="9.9499999999999993" customHeight="1">
      <c r="B391" s="8"/>
      <c r="C391" s="16"/>
      <c r="D391" s="16"/>
    </row>
    <row r="392" spans="2:4" ht="9.9499999999999993" customHeight="1">
      <c r="B392" s="8"/>
      <c r="C392" s="16"/>
      <c r="D392" s="16"/>
    </row>
    <row r="393" spans="2:4" ht="9.9499999999999993" customHeight="1">
      <c r="B393" s="8"/>
      <c r="C393" s="16"/>
      <c r="D393" s="16"/>
    </row>
    <row r="394" spans="2:4" ht="9.9499999999999993" customHeight="1">
      <c r="B394" s="8"/>
      <c r="C394" s="16"/>
      <c r="D394" s="16"/>
    </row>
    <row r="395" spans="2:4" ht="9.9499999999999993" customHeight="1">
      <c r="B395" s="8"/>
      <c r="C395" s="16"/>
      <c r="D395" s="16"/>
    </row>
    <row r="396" spans="2:4" ht="9.9499999999999993" customHeight="1">
      <c r="B396" s="8"/>
      <c r="C396" s="16"/>
      <c r="D396" s="16"/>
    </row>
    <row r="397" spans="2:4" ht="9.9499999999999993" customHeight="1">
      <c r="B397" s="8"/>
      <c r="C397" s="16"/>
      <c r="D397" s="16"/>
    </row>
    <row r="398" spans="2:4" ht="9.9499999999999993" customHeight="1">
      <c r="B398" s="8"/>
      <c r="C398" s="16"/>
      <c r="D398" s="16"/>
    </row>
    <row r="399" spans="2:4" ht="9.9499999999999993" customHeight="1">
      <c r="B399" s="8"/>
      <c r="C399" s="16"/>
      <c r="D399" s="16"/>
    </row>
    <row r="400" spans="2:4" ht="9.9499999999999993" customHeight="1">
      <c r="B400" s="8"/>
      <c r="C400" s="16"/>
      <c r="D400" s="16"/>
    </row>
    <row r="401" spans="2:4" ht="9.9499999999999993" customHeight="1">
      <c r="B401" s="8"/>
      <c r="C401" s="16"/>
      <c r="D401" s="16"/>
    </row>
    <row r="402" spans="2:4" ht="9.9499999999999993" customHeight="1">
      <c r="B402" s="8"/>
      <c r="C402" s="16"/>
      <c r="D402" s="16"/>
    </row>
    <row r="403" spans="2:4" ht="9.9499999999999993" customHeight="1">
      <c r="B403" s="8"/>
      <c r="C403" s="16"/>
      <c r="D403" s="16"/>
    </row>
    <row r="404" spans="2:4" ht="9.9499999999999993" customHeight="1">
      <c r="B404" s="8"/>
      <c r="C404" s="16"/>
      <c r="D404" s="16"/>
    </row>
    <row r="405" spans="2:4" ht="9.9499999999999993" customHeight="1">
      <c r="B405" s="8"/>
      <c r="C405" s="16"/>
      <c r="D405" s="16"/>
    </row>
    <row r="406" spans="2:4" ht="9.9499999999999993" customHeight="1">
      <c r="B406" s="8"/>
      <c r="C406" s="16"/>
      <c r="D406" s="16"/>
    </row>
    <row r="407" spans="2:4" ht="9.9499999999999993" customHeight="1">
      <c r="B407" s="8"/>
      <c r="C407" s="16"/>
      <c r="D407" s="16"/>
    </row>
    <row r="408" spans="2:4" ht="9.9499999999999993" customHeight="1">
      <c r="B408" s="8"/>
      <c r="C408" s="16"/>
      <c r="D408" s="16"/>
    </row>
    <row r="409" spans="2:4" ht="9.9499999999999993" customHeight="1">
      <c r="B409" s="8"/>
      <c r="C409" s="16"/>
      <c r="D409" s="16"/>
    </row>
    <row r="410" spans="2:4" ht="9.9499999999999993" customHeight="1">
      <c r="B410" s="8"/>
      <c r="C410" s="16"/>
      <c r="D410" s="16"/>
    </row>
    <row r="411" spans="2:4" ht="9.9499999999999993" customHeight="1">
      <c r="B411" s="8"/>
      <c r="C411" s="16"/>
      <c r="D411" s="16"/>
    </row>
    <row r="412" spans="2:4" ht="9.9499999999999993" customHeight="1">
      <c r="B412" s="8"/>
      <c r="C412" s="16"/>
      <c r="D412" s="16"/>
    </row>
    <row r="413" spans="2:4" ht="9.9499999999999993" customHeight="1">
      <c r="B413" s="8"/>
      <c r="C413" s="16"/>
      <c r="D413" s="16"/>
    </row>
    <row r="414" spans="2:4" ht="9.9499999999999993" customHeight="1">
      <c r="B414" s="8"/>
      <c r="C414" s="16"/>
      <c r="D414" s="16"/>
    </row>
    <row r="415" spans="2:4" ht="9.9499999999999993" customHeight="1">
      <c r="B415" s="8"/>
      <c r="C415" s="16"/>
      <c r="D415" s="16"/>
    </row>
    <row r="416" spans="2:4" ht="9.9499999999999993" customHeight="1">
      <c r="B416" s="8"/>
      <c r="C416" s="16"/>
      <c r="D416" s="16"/>
    </row>
    <row r="417" spans="2:4" ht="9.9499999999999993" customHeight="1">
      <c r="B417" s="8"/>
      <c r="C417" s="16"/>
      <c r="D417" s="16"/>
    </row>
    <row r="418" spans="2:4" ht="9.9499999999999993" customHeight="1">
      <c r="B418" s="8"/>
      <c r="C418" s="16"/>
      <c r="D418" s="16"/>
    </row>
    <row r="419" spans="2:4" ht="9.9499999999999993" customHeight="1">
      <c r="B419" s="8"/>
      <c r="C419" s="16"/>
      <c r="D419" s="16"/>
    </row>
    <row r="420" spans="2:4" ht="9.9499999999999993" customHeight="1">
      <c r="B420" s="8"/>
      <c r="C420" s="16"/>
      <c r="D420" s="16"/>
    </row>
    <row r="421" spans="2:4" ht="9.9499999999999993" customHeight="1">
      <c r="B421" s="8"/>
      <c r="C421" s="16"/>
      <c r="D421" s="16"/>
    </row>
    <row r="422" spans="2:4" ht="9.9499999999999993" customHeight="1">
      <c r="B422" s="8"/>
      <c r="C422" s="16"/>
      <c r="D422" s="16"/>
    </row>
    <row r="423" spans="2:4" ht="9.9499999999999993" customHeight="1">
      <c r="B423" s="8"/>
      <c r="C423" s="16"/>
      <c r="D423" s="16"/>
    </row>
    <row r="424" spans="2:4" ht="9.9499999999999993" customHeight="1">
      <c r="B424" s="8"/>
      <c r="C424" s="16"/>
      <c r="D424" s="16"/>
    </row>
    <row r="425" spans="2:4" ht="9.9499999999999993" customHeight="1">
      <c r="B425" s="8"/>
      <c r="C425" s="16"/>
      <c r="D425" s="16"/>
    </row>
    <row r="426" spans="2:4" ht="9.9499999999999993" customHeight="1">
      <c r="B426" s="8"/>
      <c r="C426" s="16"/>
      <c r="D426" s="16"/>
    </row>
    <row r="427" spans="2:4" ht="9.9499999999999993" customHeight="1">
      <c r="B427" s="8"/>
      <c r="C427" s="16"/>
      <c r="D427" s="16"/>
    </row>
    <row r="428" spans="2:4" ht="9.9499999999999993" customHeight="1">
      <c r="B428" s="8"/>
      <c r="C428" s="16"/>
      <c r="D428" s="16"/>
    </row>
    <row r="429" spans="2:4" ht="9.9499999999999993" customHeight="1">
      <c r="B429" s="8"/>
      <c r="C429" s="16"/>
      <c r="D429" s="16"/>
    </row>
    <row r="430" spans="2:4" ht="9.9499999999999993" customHeight="1">
      <c r="B430" s="8"/>
      <c r="C430" s="16"/>
      <c r="D430" s="16"/>
    </row>
    <row r="431" spans="2:4" ht="9.9499999999999993" customHeight="1">
      <c r="B431" s="8"/>
      <c r="C431" s="16"/>
      <c r="D431" s="16"/>
    </row>
    <row r="432" spans="2:4" ht="9.9499999999999993" customHeight="1">
      <c r="B432" s="8"/>
      <c r="C432" s="16"/>
      <c r="D432" s="16"/>
    </row>
    <row r="433" spans="2:4" ht="9.9499999999999993" customHeight="1">
      <c r="B433" s="8"/>
      <c r="C433" s="16"/>
      <c r="D433" s="16"/>
    </row>
    <row r="434" spans="2:4" ht="9.9499999999999993" customHeight="1">
      <c r="B434" s="8"/>
      <c r="C434" s="16"/>
      <c r="D434" s="16"/>
    </row>
    <row r="435" spans="2:4" ht="9.9499999999999993" customHeight="1">
      <c r="B435" s="8"/>
      <c r="C435" s="16"/>
      <c r="D435" s="16"/>
    </row>
    <row r="436" spans="2:4" ht="9.9499999999999993" customHeight="1">
      <c r="B436" s="8"/>
      <c r="C436" s="16"/>
      <c r="D436" s="16"/>
    </row>
    <row r="437" spans="2:4" ht="9.9499999999999993" customHeight="1">
      <c r="B437" s="8"/>
      <c r="C437" s="16"/>
      <c r="D437" s="16"/>
    </row>
    <row r="438" spans="2:4" ht="9.9499999999999993" customHeight="1">
      <c r="B438" s="8"/>
      <c r="C438" s="16"/>
      <c r="D438" s="16"/>
    </row>
    <row r="439" spans="2:4" ht="9.9499999999999993" customHeight="1">
      <c r="B439" s="8"/>
      <c r="C439" s="16"/>
      <c r="D439" s="16"/>
    </row>
    <row r="440" spans="2:4" ht="9.9499999999999993" customHeight="1">
      <c r="B440" s="8"/>
      <c r="C440" s="16"/>
      <c r="D440" s="16"/>
    </row>
    <row r="441" spans="2:4" ht="9.9499999999999993" customHeight="1">
      <c r="C441" s="16"/>
      <c r="D441" s="16"/>
    </row>
    <row r="442" spans="2:4">
      <c r="C442" s="16"/>
      <c r="D442" s="16"/>
    </row>
    <row r="443" spans="2:4">
      <c r="C443" s="16"/>
      <c r="D443" s="16"/>
    </row>
    <row r="444" spans="2:4">
      <c r="C444" s="16"/>
      <c r="D444" s="16"/>
    </row>
    <row r="445" spans="2:4">
      <c r="C445" s="16"/>
      <c r="D445" s="16"/>
    </row>
    <row r="446" spans="2:4">
      <c r="C446" s="16"/>
      <c r="D446" s="16"/>
    </row>
    <row r="447" spans="2:4">
      <c r="C447" s="16"/>
      <c r="D447" s="16"/>
    </row>
    <row r="448" spans="2:4">
      <c r="C448" s="16"/>
      <c r="D448" s="16"/>
    </row>
    <row r="449" spans="3:4">
      <c r="C449" s="16"/>
      <c r="D449" s="16"/>
    </row>
    <row r="450" spans="3:4">
      <c r="C450" s="16"/>
      <c r="D450" s="16"/>
    </row>
    <row r="451" spans="3:4">
      <c r="C451" s="16"/>
      <c r="D451" s="16"/>
    </row>
    <row r="452" spans="3:4">
      <c r="C452" s="16"/>
      <c r="D452" s="16"/>
    </row>
    <row r="453" spans="3:4">
      <c r="C453" s="16"/>
      <c r="D453" s="16"/>
    </row>
    <row r="454" spans="3:4">
      <c r="C454" s="16"/>
      <c r="D454" s="16"/>
    </row>
    <row r="455" spans="3:4">
      <c r="C455" s="16"/>
      <c r="D455" s="16"/>
    </row>
    <row r="456" spans="3:4">
      <c r="C456" s="16"/>
      <c r="D456" s="16"/>
    </row>
    <row r="457" spans="3:4">
      <c r="C457" s="16"/>
      <c r="D457" s="16"/>
    </row>
    <row r="458" spans="3:4">
      <c r="C458" s="16"/>
      <c r="D458" s="16"/>
    </row>
    <row r="459" spans="3:4">
      <c r="C459" s="16"/>
      <c r="D459" s="16"/>
    </row>
    <row r="460" spans="3:4">
      <c r="C460" s="16"/>
      <c r="D460" s="16"/>
    </row>
    <row r="461" spans="3:4">
      <c r="C461" s="16"/>
      <c r="D461" s="16"/>
    </row>
    <row r="462" spans="3:4">
      <c r="C462" s="16"/>
      <c r="D462" s="16"/>
    </row>
    <row r="463" spans="3:4">
      <c r="C463" s="16"/>
      <c r="D463" s="16"/>
    </row>
    <row r="464" spans="3:4">
      <c r="C464" s="16"/>
      <c r="D464" s="16"/>
    </row>
    <row r="465" spans="3:4">
      <c r="C465" s="16"/>
      <c r="D465" s="16"/>
    </row>
    <row r="466" spans="3:4">
      <c r="C466" s="16"/>
      <c r="D466" s="16"/>
    </row>
    <row r="467" spans="3:4">
      <c r="C467" s="16"/>
      <c r="D467" s="16"/>
    </row>
    <row r="468" spans="3:4">
      <c r="C468" s="16"/>
      <c r="D468" s="16"/>
    </row>
    <row r="469" spans="3:4">
      <c r="C469" s="16"/>
      <c r="D469" s="16"/>
    </row>
    <row r="470" spans="3:4">
      <c r="C470" s="16"/>
      <c r="D470" s="16"/>
    </row>
    <row r="471" spans="3:4">
      <c r="C471" s="16"/>
      <c r="D471" s="16"/>
    </row>
    <row r="472" spans="3:4">
      <c r="C472" s="16"/>
      <c r="D472" s="16"/>
    </row>
    <row r="473" spans="3:4">
      <c r="C473" s="16"/>
      <c r="D473" s="16"/>
    </row>
    <row r="474" spans="3:4">
      <c r="C474" s="16"/>
      <c r="D474" s="16"/>
    </row>
    <row r="475" spans="3:4">
      <c r="C475" s="16"/>
      <c r="D475" s="16"/>
    </row>
    <row r="476" spans="3:4">
      <c r="C476" s="16"/>
      <c r="D476" s="16"/>
    </row>
    <row r="477" spans="3:4">
      <c r="C477" s="16"/>
      <c r="D477" s="16"/>
    </row>
    <row r="478" spans="3:4">
      <c r="C478" s="16"/>
      <c r="D478" s="16"/>
    </row>
    <row r="479" spans="3:4">
      <c r="C479" s="16"/>
      <c r="D479" s="16"/>
    </row>
    <row r="480" spans="3:4">
      <c r="C480" s="16"/>
      <c r="D480" s="16"/>
    </row>
    <row r="481" spans="3:4">
      <c r="C481" s="16"/>
      <c r="D481" s="16"/>
    </row>
    <row r="482" spans="3:4">
      <c r="C482" s="16"/>
      <c r="D482" s="16"/>
    </row>
    <row r="483" spans="3:4">
      <c r="C483" s="16"/>
      <c r="D483" s="16"/>
    </row>
    <row r="484" spans="3:4">
      <c r="C484" s="16"/>
      <c r="D484" s="16"/>
    </row>
    <row r="485" spans="3:4">
      <c r="C485" s="16"/>
      <c r="D485" s="16"/>
    </row>
    <row r="486" spans="3:4">
      <c r="C486" s="16"/>
      <c r="D486" s="16"/>
    </row>
    <row r="487" spans="3:4">
      <c r="C487" s="16"/>
      <c r="D487" s="16"/>
    </row>
    <row r="488" spans="3:4">
      <c r="C488" s="16"/>
      <c r="D488" s="16"/>
    </row>
    <row r="489" spans="3:4">
      <c r="C489" s="16"/>
      <c r="D489" s="16"/>
    </row>
    <row r="490" spans="3:4">
      <c r="C490" s="16"/>
      <c r="D490" s="16"/>
    </row>
    <row r="491" spans="3:4">
      <c r="C491" s="16"/>
      <c r="D491" s="16"/>
    </row>
    <row r="492" spans="3:4">
      <c r="C492" s="16"/>
      <c r="D492" s="16"/>
    </row>
    <row r="493" spans="3:4">
      <c r="C493" s="16"/>
      <c r="D493" s="16"/>
    </row>
    <row r="494" spans="3:4">
      <c r="C494" s="16"/>
      <c r="D494" s="16"/>
    </row>
    <row r="495" spans="3:4">
      <c r="C495" s="16"/>
      <c r="D495" s="16"/>
    </row>
    <row r="496" spans="3:4">
      <c r="C496" s="16"/>
      <c r="D496" s="16"/>
    </row>
    <row r="497" spans="3:4">
      <c r="C497" s="16"/>
      <c r="D497" s="16"/>
    </row>
    <row r="498" spans="3:4">
      <c r="C498" s="16"/>
      <c r="D498" s="16"/>
    </row>
    <row r="499" spans="3:4">
      <c r="C499" s="16"/>
      <c r="D499" s="16"/>
    </row>
    <row r="500" spans="3:4">
      <c r="C500" s="16"/>
      <c r="D500" s="16"/>
    </row>
    <row r="501" spans="3:4">
      <c r="C501" s="16"/>
      <c r="D501" s="16"/>
    </row>
    <row r="502" spans="3:4">
      <c r="C502" s="16"/>
      <c r="D502" s="16"/>
    </row>
    <row r="503" spans="3:4">
      <c r="C503" s="16"/>
      <c r="D503" s="16"/>
    </row>
    <row r="504" spans="3:4">
      <c r="C504" s="16"/>
      <c r="D504" s="16"/>
    </row>
    <row r="505" spans="3:4">
      <c r="C505" s="16"/>
      <c r="D505" s="16"/>
    </row>
    <row r="506" spans="3:4">
      <c r="C506" s="16"/>
      <c r="D506" s="16"/>
    </row>
    <row r="507" spans="3:4">
      <c r="C507" s="16"/>
      <c r="D507" s="16"/>
    </row>
    <row r="508" spans="3:4">
      <c r="C508" s="16"/>
      <c r="D508" s="16"/>
    </row>
    <row r="509" spans="3:4">
      <c r="C509" s="16"/>
      <c r="D509" s="16"/>
    </row>
    <row r="510" spans="3:4">
      <c r="C510" s="16"/>
      <c r="D510" s="16"/>
    </row>
    <row r="511" spans="3:4">
      <c r="C511" s="16"/>
      <c r="D511" s="16"/>
    </row>
    <row r="512" spans="3:4">
      <c r="C512" s="16"/>
      <c r="D512" s="16"/>
    </row>
    <row r="513" spans="3:4">
      <c r="C513" s="16"/>
      <c r="D513" s="16"/>
    </row>
    <row r="514" spans="3:4">
      <c r="C514" s="16"/>
      <c r="D514" s="16"/>
    </row>
    <row r="515" spans="3:4">
      <c r="C515" s="16"/>
      <c r="D515" s="16"/>
    </row>
    <row r="516" spans="3:4">
      <c r="C516" s="16"/>
      <c r="D516" s="16"/>
    </row>
    <row r="517" spans="3:4">
      <c r="C517" s="16"/>
      <c r="D517" s="16"/>
    </row>
    <row r="518" spans="3:4">
      <c r="C518" s="16"/>
      <c r="D518" s="16"/>
    </row>
    <row r="519" spans="3:4">
      <c r="C519" s="16"/>
      <c r="D519" s="16"/>
    </row>
    <row r="520" spans="3:4">
      <c r="C520" s="16"/>
      <c r="D520" s="16"/>
    </row>
    <row r="521" spans="3:4">
      <c r="C521" s="16"/>
      <c r="D521" s="16"/>
    </row>
    <row r="522" spans="3:4">
      <c r="C522" s="16"/>
      <c r="D522" s="16"/>
    </row>
    <row r="523" spans="3:4">
      <c r="C523" s="16"/>
      <c r="D523" s="16"/>
    </row>
    <row r="524" spans="3:4">
      <c r="C524" s="16"/>
      <c r="D524" s="16"/>
    </row>
    <row r="525" spans="3:4">
      <c r="C525" s="16"/>
      <c r="D525" s="16"/>
    </row>
    <row r="526" spans="3:4">
      <c r="C526" s="16"/>
      <c r="D526" s="16"/>
    </row>
    <row r="527" spans="3:4">
      <c r="C527" s="16"/>
      <c r="D527" s="16"/>
    </row>
    <row r="528" spans="3:4">
      <c r="C528" s="16"/>
      <c r="D528" s="16"/>
    </row>
    <row r="529" spans="3:4">
      <c r="C529" s="16"/>
      <c r="D529" s="16"/>
    </row>
    <row r="530" spans="3:4">
      <c r="C530" s="16"/>
      <c r="D530" s="16"/>
    </row>
    <row r="531" spans="3:4">
      <c r="C531" s="16"/>
      <c r="D531" s="16"/>
    </row>
    <row r="532" spans="3:4">
      <c r="C532" s="16"/>
      <c r="D532" s="16"/>
    </row>
    <row r="533" spans="3:4">
      <c r="C533" s="16"/>
      <c r="D533" s="16"/>
    </row>
    <row r="534" spans="3:4">
      <c r="C534" s="16"/>
      <c r="D534" s="16"/>
    </row>
    <row r="535" spans="3:4">
      <c r="C535" s="16"/>
      <c r="D535" s="16"/>
    </row>
    <row r="536" spans="3:4">
      <c r="C536" s="16"/>
      <c r="D536" s="16"/>
    </row>
    <row r="537" spans="3:4">
      <c r="C537" s="16"/>
      <c r="D537" s="16"/>
    </row>
    <row r="538" spans="3:4">
      <c r="C538" s="16"/>
      <c r="D538" s="16"/>
    </row>
    <row r="539" spans="3:4">
      <c r="C539" s="16"/>
      <c r="D539" s="16"/>
    </row>
    <row r="540" spans="3:4">
      <c r="C540" s="16"/>
      <c r="D540" s="16"/>
    </row>
    <row r="541" spans="3:4">
      <c r="C541" s="16"/>
      <c r="D541" s="16"/>
    </row>
    <row r="542" spans="3:4">
      <c r="C542" s="16"/>
      <c r="D542" s="16"/>
    </row>
    <row r="543" spans="3:4">
      <c r="C543" s="16"/>
      <c r="D543" s="16"/>
    </row>
    <row r="544" spans="3:4">
      <c r="C544" s="16"/>
      <c r="D544" s="16"/>
    </row>
    <row r="545" spans="3:4">
      <c r="C545" s="16"/>
      <c r="D545" s="16"/>
    </row>
    <row r="546" spans="3:4">
      <c r="C546" s="16"/>
      <c r="D546" s="16"/>
    </row>
    <row r="547" spans="3:4">
      <c r="C547" s="16"/>
      <c r="D547" s="16"/>
    </row>
    <row r="548" spans="3:4">
      <c r="C548" s="16"/>
      <c r="D548" s="16"/>
    </row>
    <row r="549" spans="3:4">
      <c r="C549" s="16"/>
      <c r="D549" s="16"/>
    </row>
    <row r="550" spans="3:4">
      <c r="C550" s="16"/>
      <c r="D550" s="16"/>
    </row>
    <row r="551" spans="3:4">
      <c r="C551" s="16"/>
      <c r="D551" s="16"/>
    </row>
    <row r="552" spans="3:4">
      <c r="C552" s="16"/>
      <c r="D552" s="16"/>
    </row>
    <row r="553" spans="3:4">
      <c r="C553" s="16"/>
      <c r="D553" s="16"/>
    </row>
    <row r="554" spans="3:4">
      <c r="C554" s="16"/>
      <c r="D554" s="16"/>
    </row>
    <row r="555" spans="3:4">
      <c r="C555" s="16"/>
      <c r="D555" s="16"/>
    </row>
    <row r="556" spans="3:4">
      <c r="C556" s="16"/>
      <c r="D556" s="16"/>
    </row>
    <row r="557" spans="3:4">
      <c r="C557" s="16"/>
      <c r="D557" s="16"/>
    </row>
    <row r="558" spans="3:4">
      <c r="C558" s="16"/>
      <c r="D558" s="16"/>
    </row>
    <row r="559" spans="3:4">
      <c r="C559" s="16"/>
      <c r="D559" s="16"/>
    </row>
    <row r="560" spans="3:4">
      <c r="C560" s="16"/>
      <c r="D560" s="16"/>
    </row>
    <row r="561" spans="3:4">
      <c r="C561" s="16"/>
      <c r="D561" s="16"/>
    </row>
    <row r="562" spans="3:4">
      <c r="C562" s="16"/>
      <c r="D562" s="16"/>
    </row>
    <row r="563" spans="3:4">
      <c r="C563" s="16"/>
      <c r="D563" s="16"/>
    </row>
    <row r="564" spans="3:4">
      <c r="C564" s="16"/>
      <c r="D564" s="16"/>
    </row>
    <row r="565" spans="3:4">
      <c r="C565" s="16"/>
      <c r="D565" s="16"/>
    </row>
    <row r="566" spans="3:4">
      <c r="C566" s="16"/>
      <c r="D566" s="16"/>
    </row>
    <row r="567" spans="3:4">
      <c r="C567" s="16"/>
      <c r="D567" s="16"/>
    </row>
    <row r="568" spans="3:4">
      <c r="C568" s="16"/>
      <c r="D568" s="16"/>
    </row>
    <row r="569" spans="3:4">
      <c r="C569" s="16"/>
      <c r="D569" s="16"/>
    </row>
    <row r="570" spans="3:4">
      <c r="C570" s="16"/>
      <c r="D570" s="16"/>
    </row>
    <row r="571" spans="3:4">
      <c r="C571" s="16"/>
      <c r="D571" s="16"/>
    </row>
    <row r="572" spans="3:4">
      <c r="C572" s="16"/>
      <c r="D572" s="16"/>
    </row>
    <row r="573" spans="3:4">
      <c r="C573" s="16"/>
      <c r="D573" s="16"/>
    </row>
    <row r="574" spans="3:4">
      <c r="C574" s="16"/>
      <c r="D574" s="16"/>
    </row>
    <row r="575" spans="3:4">
      <c r="C575" s="16"/>
      <c r="D575" s="16"/>
    </row>
    <row r="576" spans="3:4">
      <c r="C576" s="16"/>
      <c r="D576" s="16"/>
    </row>
    <row r="577" spans="3:4">
      <c r="C577" s="16"/>
      <c r="D577" s="16"/>
    </row>
    <row r="578" spans="3:4">
      <c r="C578" s="16"/>
      <c r="D578" s="16"/>
    </row>
    <row r="579" spans="3:4">
      <c r="C579" s="16"/>
      <c r="D579" s="16"/>
    </row>
    <row r="580" spans="3:4">
      <c r="C580" s="16"/>
      <c r="D580" s="16"/>
    </row>
    <row r="581" spans="3:4">
      <c r="C581" s="16"/>
      <c r="D581" s="16"/>
    </row>
    <row r="582" spans="3:4">
      <c r="C582" s="16"/>
      <c r="D582" s="16"/>
    </row>
    <row r="583" spans="3:4">
      <c r="C583" s="16"/>
      <c r="D583" s="16"/>
    </row>
    <row r="584" spans="3:4">
      <c r="C584" s="16"/>
      <c r="D584" s="16"/>
    </row>
    <row r="585" spans="3:4">
      <c r="C585" s="16"/>
      <c r="D585" s="16"/>
    </row>
    <row r="586" spans="3:4">
      <c r="C586" s="16"/>
      <c r="D586" s="16"/>
    </row>
    <row r="587" spans="3:4">
      <c r="C587" s="16"/>
      <c r="D587" s="16"/>
    </row>
    <row r="588" spans="3:4">
      <c r="C588" s="16"/>
      <c r="D588" s="16"/>
    </row>
    <row r="589" spans="3:4">
      <c r="C589" s="16"/>
      <c r="D589" s="16"/>
    </row>
    <row r="590" spans="3:4">
      <c r="C590" s="16"/>
      <c r="D590" s="16"/>
    </row>
    <row r="591" spans="3:4">
      <c r="C591" s="16"/>
      <c r="D591" s="16"/>
    </row>
    <row r="592" spans="3:4">
      <c r="C592" s="16"/>
      <c r="D592" s="16"/>
    </row>
    <row r="593" spans="3:4">
      <c r="C593" s="16"/>
      <c r="D593" s="16"/>
    </row>
    <row r="594" spans="3:4">
      <c r="C594" s="16"/>
      <c r="D594" s="16"/>
    </row>
    <row r="595" spans="3:4">
      <c r="C595" s="16"/>
      <c r="D595" s="16"/>
    </row>
    <row r="596" spans="3:4">
      <c r="C596" s="16"/>
      <c r="D596" s="16"/>
    </row>
    <row r="597" spans="3:4">
      <c r="C597" s="16"/>
      <c r="D597" s="16"/>
    </row>
    <row r="598" spans="3:4">
      <c r="C598" s="16"/>
      <c r="D598" s="16"/>
    </row>
    <row r="599" spans="3:4">
      <c r="C599" s="16"/>
      <c r="D599" s="16"/>
    </row>
    <row r="600" spans="3:4">
      <c r="C600" s="16"/>
      <c r="D600" s="16"/>
    </row>
    <row r="601" spans="3:4">
      <c r="C601" s="16"/>
      <c r="D601" s="16"/>
    </row>
    <row r="602" spans="3:4">
      <c r="C602" s="16"/>
      <c r="D602" s="16"/>
    </row>
    <row r="603" spans="3:4">
      <c r="C603" s="16"/>
      <c r="D603" s="16"/>
    </row>
    <row r="604" spans="3:4">
      <c r="C604" s="16"/>
      <c r="D604" s="16"/>
    </row>
    <row r="605" spans="3:4">
      <c r="C605" s="16"/>
      <c r="D605" s="16"/>
    </row>
    <row r="606" spans="3:4">
      <c r="C606" s="16"/>
      <c r="D606" s="16"/>
    </row>
    <row r="607" spans="3:4">
      <c r="C607" s="16"/>
      <c r="D607" s="16"/>
    </row>
    <row r="608" spans="3:4">
      <c r="C608" s="16"/>
      <c r="D608" s="16"/>
    </row>
    <row r="609" spans="3:4">
      <c r="C609" s="16"/>
      <c r="D609" s="16"/>
    </row>
    <row r="610" spans="3:4">
      <c r="C610" s="16"/>
      <c r="D610" s="16"/>
    </row>
    <row r="611" spans="3:4">
      <c r="C611" s="16"/>
      <c r="D611" s="16"/>
    </row>
    <row r="612" spans="3:4">
      <c r="C612" s="16"/>
      <c r="D612" s="16"/>
    </row>
    <row r="613" spans="3:4">
      <c r="C613" s="16"/>
      <c r="D613" s="16"/>
    </row>
    <row r="614" spans="3:4">
      <c r="C614" s="16"/>
      <c r="D614" s="16"/>
    </row>
    <row r="615" spans="3:4">
      <c r="C615" s="16"/>
      <c r="D615" s="16"/>
    </row>
    <row r="616" spans="3:4">
      <c r="C616" s="16"/>
      <c r="D616" s="16"/>
    </row>
    <row r="617" spans="3:4">
      <c r="C617" s="16"/>
      <c r="D617" s="16"/>
    </row>
    <row r="618" spans="3:4">
      <c r="C618" s="16"/>
    </row>
  </sheetData>
  <dataConsolidate/>
  <mergeCells count="4">
    <mergeCell ref="C1:J1"/>
    <mergeCell ref="C2:J2"/>
    <mergeCell ref="C3:J3"/>
    <mergeCell ref="C4:J4"/>
  </mergeCells>
  <conditionalFormatting sqref="J64:K64">
    <cfRule type="cellIs" dxfId="73" priority="431" stopIfTrue="1" operator="lessThan">
      <formula>J51/F10</formula>
    </cfRule>
  </conditionalFormatting>
  <conditionalFormatting sqref="L15">
    <cfRule type="expression" dxfId="72" priority="397" stopIfTrue="1">
      <formula>L$59=$J$60</formula>
    </cfRule>
  </conditionalFormatting>
  <conditionalFormatting sqref="J63:K63">
    <cfRule type="cellIs" dxfId="71" priority="450" stopIfTrue="1" operator="lessThan">
      <formula>J46/J43</formula>
    </cfRule>
  </conditionalFormatting>
  <conditionalFormatting sqref="L42">
    <cfRule type="cellIs" dxfId="70" priority="453" stopIfTrue="1" operator="notBetween">
      <formula>0</formula>
      <formula>1</formula>
    </cfRule>
    <cfRule type="expression" dxfId="69" priority="454" stopIfTrue="1">
      <formula>L$42=1</formula>
    </cfRule>
  </conditionalFormatting>
  <conditionalFormatting sqref="L46">
    <cfRule type="cellIs" dxfId="68" priority="455" stopIfTrue="1" operator="lessThanOrEqual">
      <formula>L$66</formula>
    </cfRule>
  </conditionalFormatting>
  <conditionalFormatting sqref="L27">
    <cfRule type="expression" dxfId="67" priority="456" stopIfTrue="1">
      <formula>L21=""</formula>
    </cfRule>
    <cfRule type="expression" dxfId="66" priority="457" stopIfTrue="1">
      <formula>L21=" "</formula>
    </cfRule>
  </conditionalFormatting>
  <conditionalFormatting sqref="L62:O62">
    <cfRule type="expression" dxfId="65" priority="458" stopIfTrue="1">
      <formula>L62&lt;$J46/$J43</formula>
    </cfRule>
    <cfRule type="cellIs" dxfId="64" priority="459" stopIfTrue="1" operator="equal">
      <formula>$J$63</formula>
    </cfRule>
  </conditionalFormatting>
  <conditionalFormatting sqref="L22">
    <cfRule type="expression" dxfId="63" priority="460" stopIfTrue="1">
      <formula>L21=" "</formula>
    </cfRule>
    <cfRule type="expression" dxfId="62" priority="461" stopIfTrue="1">
      <formula>L21="Dual Fan Dual Duct"</formula>
    </cfRule>
    <cfRule type="expression" dxfId="61" priority="462" stopIfTrue="1">
      <formula>L21=""</formula>
    </cfRule>
  </conditionalFormatting>
  <conditionalFormatting sqref="J67:K72">
    <cfRule type="cellIs" dxfId="60" priority="463" stopIfTrue="1" operator="greaterThan">
      <formula>$J$43</formula>
    </cfRule>
  </conditionalFormatting>
  <conditionalFormatting sqref="L56">
    <cfRule type="cellIs" dxfId="59" priority="464" stopIfTrue="1" operator="greaterThan">
      <formula>1</formula>
    </cfRule>
  </conditionalFormatting>
  <conditionalFormatting sqref="A28 B29:D33">
    <cfRule type="expression" dxfId="58" priority="465" stopIfTrue="1">
      <formula>$J$13="No"</formula>
    </cfRule>
  </conditionalFormatting>
  <conditionalFormatting sqref="J29:J32">
    <cfRule type="expression" dxfId="57" priority="466" stopIfTrue="1">
      <formula>$J$13="No"</formula>
    </cfRule>
  </conditionalFormatting>
  <conditionalFormatting sqref="L21">
    <cfRule type="expression" dxfId="56" priority="467" stopIfTrue="1">
      <formula>ISTEXT(L21)</formula>
    </cfRule>
  </conditionalFormatting>
  <conditionalFormatting sqref="J33">
    <cfRule type="expression" dxfId="55" priority="468" stopIfTrue="1">
      <formula>$J$13="No"</formula>
    </cfRule>
  </conditionalFormatting>
  <conditionalFormatting sqref="B194:B195 B197:B198 B200:B201 B203:B204 B206:B207 B209:B210 B212:B213 B215:B216 B218:B219 B221:B222 B224:B225 B227:B228 B230:B231 B233:B234 B236:B237 B239:B240 B242:B243 B245:B246 B248:B249 B251:B252 B254:B255 B257:B258 B260:B261 B263:B264 B266:B267 B269:B270 B272:B273 B275:B276 B278:B279 B281:B282 B284:B285 B287:B288 B290:B291 B293:B294 B296:B297 B299:B300 B302:B303 B305:B306 B308:B309 B311:B312 B314:B315 B317:B318 B320:B321 B323:B324 B326:B327 B329:B330 B332:B333 B335:B336 B338:B339 B341:B342 B344:B345 B347:B348 B350:B351 B353:B354 B356:B357 B359:B360 B362:B363 B365:B366 B368:B369 B371:B372 B374:B375 B377:B378 B380:B381 B383:B384 B386:B387 B389:B390 B392:B393 B395:B396 B398:B399 B401:B402 B404:B405 B407:B408 B410:B411 B413:B414 B416:B417 B419:B420 B422:B423 B425:B426 B428:B429 B431:B432 B434:B435 B437:B438 B440">
    <cfRule type="expression" dxfId="54" priority="449" stopIfTrue="1">
      <formula>B$59=$J$60</formula>
    </cfRule>
  </conditionalFormatting>
  <conditionalFormatting sqref="B196 B199 B202 B205 B208 B211 B214 B217 B220 B223 B226 B229 B232 B235 B238 B241 B244 B247 B250 B253 B256 B259 B262 B265 B268 B271 B274 B277 B280 B283 B286 B289 B292 B295 B298 B301 B304 B307 B310 B313 B316 B319 B322 B325 B328 B331 B334 B337 B340 B343 B346 B349 B352 B355 B358 B361 B364 B367 B370 B373 B376 B379 B382 B385 B388 B391 B394 B397 B400 B403 B406 B409 B412 B415 B418 B421 B424 B427 B430 B433 B436 B439">
    <cfRule type="expression" dxfId="53" priority="448" stopIfTrue="1">
      <formula>B$59=$J$60</formula>
    </cfRule>
  </conditionalFormatting>
  <conditionalFormatting sqref="B192:B193">
    <cfRule type="expression" dxfId="52" priority="447" stopIfTrue="1">
      <formula>B$59=$J$60</formula>
    </cfRule>
  </conditionalFormatting>
  <conditionalFormatting sqref="B22">
    <cfRule type="expression" dxfId="51" priority="490" stopIfTrue="1">
      <formula>COUNTIF(L21:L21,"Induction Terminal Unit")+COUNTIF(L21:L21,"Transfer Fan")&gt;0</formula>
    </cfRule>
  </conditionalFormatting>
  <conditionalFormatting sqref="C22">
    <cfRule type="expression" dxfId="50" priority="491" stopIfTrue="1">
      <formula>COUNTIF(L21:L21,"Induction Terminal Unit")+COUNTIF(L21:L21,"Transfer Fan")&gt;0</formula>
    </cfRule>
  </conditionalFormatting>
  <conditionalFormatting sqref="C27">
    <cfRule type="expression" dxfId="49" priority="492" stopIfTrue="1">
      <formula>COUNTIF(L21:L21,"Induction Terminal Unit")+COUNTIF(L21:L21,"Dual Fan Dual Duct")+COUNTIF(L21:L21,"Transfer Fan")&gt;0</formula>
    </cfRule>
  </conditionalFormatting>
  <conditionalFormatting sqref="B27">
    <cfRule type="expression" dxfId="48" priority="493" stopIfTrue="1">
      <formula>COUNTIF(L21:L21,"Induction Terminal Unit")+COUNTIF(L21:L21,"Dual Fan Dual Duct")+COUNTIF(L21:L21,"Transfer Fan")&gt;0</formula>
    </cfRule>
  </conditionalFormatting>
  <conditionalFormatting sqref="K15">
    <cfRule type="expression" dxfId="47" priority="34" stopIfTrue="1">
      <formula>K$59=$J$60</formula>
    </cfRule>
  </conditionalFormatting>
  <conditionalFormatting sqref="K42">
    <cfRule type="cellIs" dxfId="46" priority="35" stopIfTrue="1" operator="notBetween">
      <formula>0</formula>
      <formula>1</formula>
    </cfRule>
    <cfRule type="expression" dxfId="45" priority="36" stopIfTrue="1">
      <formula>K$42=1</formula>
    </cfRule>
  </conditionalFormatting>
  <conditionalFormatting sqref="K46">
    <cfRule type="cellIs" dxfId="44" priority="37" stopIfTrue="1" operator="lessThanOrEqual">
      <formula>K$66</formula>
    </cfRule>
  </conditionalFormatting>
  <conditionalFormatting sqref="K27">
    <cfRule type="expression" dxfId="43" priority="38" stopIfTrue="1">
      <formula>K21=""</formula>
    </cfRule>
    <cfRule type="expression" dxfId="42" priority="39" stopIfTrue="1">
      <formula>K21=" "</formula>
    </cfRule>
  </conditionalFormatting>
  <conditionalFormatting sqref="K22">
    <cfRule type="expression" dxfId="41" priority="40" stopIfTrue="1">
      <formula>K21=" "</formula>
    </cfRule>
    <cfRule type="expression" dxfId="40" priority="41" stopIfTrue="1">
      <formula>K21="Dual Fan Dual Duct"</formula>
    </cfRule>
    <cfRule type="expression" dxfId="39" priority="42" stopIfTrue="1">
      <formula>K21=""</formula>
    </cfRule>
  </conditionalFormatting>
  <conditionalFormatting sqref="K56">
    <cfRule type="cellIs" dxfId="38" priority="43" stopIfTrue="1" operator="greaterThan">
      <formula>1</formula>
    </cfRule>
  </conditionalFormatting>
  <conditionalFormatting sqref="K21">
    <cfRule type="expression" dxfId="37" priority="44" stopIfTrue="1">
      <formula>ISTEXT(K21)</formula>
    </cfRule>
  </conditionalFormatting>
  <conditionalFormatting sqref="L7:O9">
    <cfRule type="expression" dxfId="36" priority="595" stopIfTrue="1">
      <formula>$F7&lt;&gt;$T7</formula>
    </cfRule>
  </conditionalFormatting>
  <conditionalFormatting sqref="I24">
    <cfRule type="expression" dxfId="35" priority="596" stopIfTrue="1">
      <formula>OR($F$8&lt;&gt;$P$19,$F$9&lt;&gt;$P$20)</formula>
    </cfRule>
  </conditionalFormatting>
  <conditionalFormatting sqref="H8">
    <cfRule type="expression" dxfId="34" priority="597" stopIfTrue="1">
      <formula>$F$8&lt;&gt;$P$19</formula>
    </cfRule>
  </conditionalFormatting>
  <conditionalFormatting sqref="H9">
    <cfRule type="expression" dxfId="33" priority="598" stopIfTrue="1">
      <formula>$F$9&lt;&gt;$P$20</formula>
    </cfRule>
  </conditionalFormatting>
  <conditionalFormatting sqref="M15">
    <cfRule type="expression" dxfId="32" priority="23" stopIfTrue="1">
      <formula>M$59=$J$60</formula>
    </cfRule>
  </conditionalFormatting>
  <conditionalFormatting sqref="M42">
    <cfRule type="cellIs" dxfId="31" priority="24" stopIfTrue="1" operator="notBetween">
      <formula>0</formula>
      <formula>1</formula>
    </cfRule>
    <cfRule type="expression" dxfId="30" priority="25" stopIfTrue="1">
      <formula>M$42=1</formula>
    </cfRule>
  </conditionalFormatting>
  <conditionalFormatting sqref="M46">
    <cfRule type="cellIs" dxfId="29" priority="26" stopIfTrue="1" operator="lessThanOrEqual">
      <formula>M$66</formula>
    </cfRule>
  </conditionalFormatting>
  <conditionalFormatting sqref="M27">
    <cfRule type="expression" dxfId="28" priority="27" stopIfTrue="1">
      <formula>M21=""</formula>
    </cfRule>
    <cfRule type="expression" dxfId="27" priority="28" stopIfTrue="1">
      <formula>M21=" "</formula>
    </cfRule>
  </conditionalFormatting>
  <conditionalFormatting sqref="M22">
    <cfRule type="expression" dxfId="26" priority="29" stopIfTrue="1">
      <formula>M21=" "</formula>
    </cfRule>
    <cfRule type="expression" dxfId="25" priority="30" stopIfTrue="1">
      <formula>M21="Dual Fan Dual Duct"</formula>
    </cfRule>
    <cfRule type="expression" dxfId="24" priority="31" stopIfTrue="1">
      <formula>M21=""</formula>
    </cfRule>
  </conditionalFormatting>
  <conditionalFormatting sqref="M56">
    <cfRule type="cellIs" dxfId="23" priority="32" stopIfTrue="1" operator="greaterThan">
      <formula>1</formula>
    </cfRule>
  </conditionalFormatting>
  <conditionalFormatting sqref="M21">
    <cfRule type="expression" dxfId="22" priority="33" stopIfTrue="1">
      <formula>ISTEXT(M21)</formula>
    </cfRule>
  </conditionalFormatting>
  <conditionalFormatting sqref="N15">
    <cfRule type="expression" dxfId="21" priority="12" stopIfTrue="1">
      <formula>N$59=$J$60</formula>
    </cfRule>
  </conditionalFormatting>
  <conditionalFormatting sqref="N42">
    <cfRule type="cellIs" dxfId="20" priority="13" stopIfTrue="1" operator="notBetween">
      <formula>0</formula>
      <formula>1</formula>
    </cfRule>
    <cfRule type="expression" dxfId="19" priority="14" stopIfTrue="1">
      <formula>N$42=1</formula>
    </cfRule>
  </conditionalFormatting>
  <conditionalFormatting sqref="N46">
    <cfRule type="cellIs" dxfId="18" priority="15" stopIfTrue="1" operator="lessThanOrEqual">
      <formula>N$66</formula>
    </cfRule>
  </conditionalFormatting>
  <conditionalFormatting sqref="N27">
    <cfRule type="expression" dxfId="17" priority="16" stopIfTrue="1">
      <formula>N21=""</formula>
    </cfRule>
    <cfRule type="expression" dxfId="16" priority="17" stopIfTrue="1">
      <formula>N21=" "</formula>
    </cfRule>
  </conditionalFormatting>
  <conditionalFormatting sqref="N22">
    <cfRule type="expression" dxfId="15" priority="18" stopIfTrue="1">
      <formula>N21=" "</formula>
    </cfRule>
    <cfRule type="expression" dxfId="14" priority="19" stopIfTrue="1">
      <formula>N21="Dual Fan Dual Duct"</formula>
    </cfRule>
    <cfRule type="expression" dxfId="13" priority="20" stopIfTrue="1">
      <formula>N21=""</formula>
    </cfRule>
  </conditionalFormatting>
  <conditionalFormatting sqref="N56">
    <cfRule type="cellIs" dxfId="12" priority="21" stopIfTrue="1" operator="greaterThan">
      <formula>1</formula>
    </cfRule>
  </conditionalFormatting>
  <conditionalFormatting sqref="N21">
    <cfRule type="expression" dxfId="11" priority="22" stopIfTrue="1">
      <formula>ISTEXT(N21)</formula>
    </cfRule>
  </conditionalFormatting>
  <conditionalFormatting sqref="O15">
    <cfRule type="expression" dxfId="10" priority="1" stopIfTrue="1">
      <formula>O$59=$J$60</formula>
    </cfRule>
  </conditionalFormatting>
  <conditionalFormatting sqref="O42">
    <cfRule type="cellIs" dxfId="9" priority="2" stopIfTrue="1" operator="notBetween">
      <formula>0</formula>
      <formula>1</formula>
    </cfRule>
    <cfRule type="expression" dxfId="8" priority="3" stopIfTrue="1">
      <formula>O$42=1</formula>
    </cfRule>
  </conditionalFormatting>
  <conditionalFormatting sqref="O46">
    <cfRule type="cellIs" dxfId="7" priority="4" stopIfTrue="1" operator="lessThanOrEqual">
      <formula>O$66</formula>
    </cfRule>
  </conditionalFormatting>
  <conditionalFormatting sqref="O27">
    <cfRule type="expression" dxfId="6" priority="5" stopIfTrue="1">
      <formula>O21=""</formula>
    </cfRule>
    <cfRule type="expression" dxfId="5" priority="6" stopIfTrue="1">
      <formula>O21=" "</formula>
    </cfRule>
  </conditionalFormatting>
  <conditionalFormatting sqref="O22">
    <cfRule type="expression" dxfId="4" priority="7" stopIfTrue="1">
      <formula>O21=" "</formula>
    </cfRule>
    <cfRule type="expression" dxfId="3" priority="8" stopIfTrue="1">
      <formula>O21="Dual Fan Dual Duct"</formula>
    </cfRule>
    <cfRule type="expression" dxfId="2" priority="9" stopIfTrue="1">
      <formula>O21=""</formula>
    </cfRule>
  </conditionalFormatting>
  <conditionalFormatting sqref="O56">
    <cfRule type="cellIs" dxfId="1" priority="10" stopIfTrue="1" operator="greaterThan">
      <formula>1</formula>
    </cfRule>
  </conditionalFormatting>
  <conditionalFormatting sqref="O21">
    <cfRule type="expression" dxfId="0" priority="11" stopIfTrue="1">
      <formula>ISTEXT(O21)</formula>
    </cfRule>
  </conditionalFormatting>
  <dataValidations disablePrompts="1" count="5">
    <dataValidation type="list" showInputMessage="1" showErrorMessage="1" sqref="J13:K13">
      <formula1>$D$157:$D$158</formula1>
    </dataValidation>
    <dataValidation type="list" showInputMessage="1" showErrorMessage="1" sqref="C4">
      <formula1>$A$157:$A$158</formula1>
    </dataValidation>
    <dataValidation type="list" allowBlank="1" showInputMessage="1" showErrorMessage="1" sqref="K25:O25">
      <formula1>ez_index</formula1>
    </dataValidation>
    <dataValidation type="list" showInputMessage="1" showErrorMessage="1" sqref="K17:O17">
      <formula1>Space_index</formula1>
    </dataValidation>
    <dataValidation type="list" allowBlank="1" showInputMessage="1" showErrorMessage="1" sqref="K21:O21">
      <formula1>$C$157:$C$160</formula1>
    </dataValidation>
  </dataValidations>
  <pageMargins left="0.75" right="0.75" top="0.56999999999999995" bottom="0.54" header="0.28000000000000003" footer="0.34"/>
  <pageSetup scale="60" orientation="landscape" r:id="rId1"/>
  <headerFooter alignWithMargins="0"/>
  <drawing r:id="rId2"/>
  <legacyDrawing r:id="rId3"/>
  <controls>
    <mc:AlternateContent xmlns:mc="http://schemas.openxmlformats.org/markup-compatibility/2006">
      <mc:Choice Requires="x14">
        <control shapeId="21505" r:id="rId4" name="Add_zone">
          <controlPr defaultSize="0" print="0" autoFill="0" autoLine="0" r:id="rId5">
            <anchor>
              <from>
                <xdr:col>1</xdr:col>
                <xdr:colOff>2276475</xdr:colOff>
                <xdr:row>2</xdr:row>
                <xdr:rowOff>9525</xdr:rowOff>
              </from>
              <to>
                <xdr:col>1</xdr:col>
                <xdr:colOff>3352800</xdr:colOff>
                <xdr:row>3</xdr:row>
                <xdr:rowOff>133350</xdr:rowOff>
              </to>
            </anchor>
          </controlPr>
        </control>
      </mc:Choice>
      <mc:Fallback>
        <control shapeId="21505" r:id="rId4" name="Add_zone"/>
      </mc:Fallback>
    </mc:AlternateContent>
    <mc:AlternateContent xmlns:mc="http://schemas.openxmlformats.org/markup-compatibility/2006">
      <mc:Choice Requires="x14">
        <control shapeId="21506" r:id="rId6" name="CommandButton2">
          <controlPr defaultSize="0" print="0" autoLine="0" r:id="rId7">
            <anchor moveWithCells="1">
              <from>
                <xdr:col>1</xdr:col>
                <xdr:colOff>1562100</xdr:colOff>
                <xdr:row>14</xdr:row>
                <xdr:rowOff>9525</xdr:rowOff>
              </from>
              <to>
                <xdr:col>1</xdr:col>
                <xdr:colOff>3362325</xdr:colOff>
                <xdr:row>16</xdr:row>
                <xdr:rowOff>19050</xdr:rowOff>
              </to>
            </anchor>
          </controlPr>
        </control>
      </mc:Choice>
      <mc:Fallback>
        <control shapeId="21506" r:id="rId6" name="CommandButton2"/>
      </mc:Fallback>
    </mc:AlternateContent>
    <mc:AlternateContent xmlns:mc="http://schemas.openxmlformats.org/markup-compatibility/2006">
      <mc:Choice Requires="x14">
        <control shapeId="21507" r:id="rId8" name="Show_Ez">
          <controlPr defaultSize="0" print="0" autoFill="0" autoLine="0" r:id="rId9">
            <anchor moveWithCells="1">
              <from>
                <xdr:col>7</xdr:col>
                <xdr:colOff>152400</xdr:colOff>
                <xdr:row>24</xdr:row>
                <xdr:rowOff>47625</xdr:rowOff>
              </from>
              <to>
                <xdr:col>9</xdr:col>
                <xdr:colOff>552450</xdr:colOff>
                <xdr:row>26</xdr:row>
                <xdr:rowOff>28575</xdr:rowOff>
              </to>
            </anchor>
          </controlPr>
        </control>
      </mc:Choice>
      <mc:Fallback>
        <control shapeId="21507" r:id="rId8" name="Show_Ez"/>
      </mc:Fallback>
    </mc:AlternateContent>
    <mc:AlternateContent xmlns:mc="http://schemas.openxmlformats.org/markup-compatibility/2006">
      <mc:Choice Requires="x14">
        <control shapeId="21508" r:id="rId10" name="Delete_Zone">
          <controlPr defaultSize="0" print="0" autoFill="0" autoLine="0" r:id="rId11">
            <anchor>
              <from>
                <xdr:col>1</xdr:col>
                <xdr:colOff>2276475</xdr:colOff>
                <xdr:row>0</xdr:row>
                <xdr:rowOff>19050</xdr:rowOff>
              </from>
              <to>
                <xdr:col>1</xdr:col>
                <xdr:colOff>3352800</xdr:colOff>
                <xdr:row>1</xdr:row>
                <xdr:rowOff>142875</xdr:rowOff>
              </to>
            </anchor>
          </controlPr>
        </control>
      </mc:Choice>
      <mc:Fallback>
        <control shapeId="21508" r:id="rId10" name="Delete_Zone"/>
      </mc:Fallback>
    </mc:AlternateContent>
    <mc:AlternateContent xmlns:mc="http://schemas.openxmlformats.org/markup-compatibility/2006">
      <mc:Choice Requires="x14">
        <control shapeId="21509" r:id="rId12" name="Test_Button">
          <controlPr autoLine="0" r:id="rId13">
            <anchor>
              <from>
                <xdr:col>1</xdr:col>
                <xdr:colOff>1276350</xdr:colOff>
                <xdr:row>0</xdr:row>
                <xdr:rowOff>47625</xdr:rowOff>
              </from>
              <to>
                <xdr:col>1</xdr:col>
                <xdr:colOff>2200275</xdr:colOff>
                <xdr:row>2</xdr:row>
                <xdr:rowOff>0</xdr:rowOff>
              </to>
            </anchor>
          </controlPr>
        </control>
      </mc:Choice>
      <mc:Fallback>
        <control shapeId="21509" r:id="rId12" name="Test_Button"/>
      </mc:Fallback>
    </mc:AlternateContent>
    <mc:AlternateContent xmlns:mc="http://schemas.openxmlformats.org/markup-compatibility/2006">
      <mc:Choice Requires="x14">
        <control shapeId="21511" r:id="rId14" name="CheckBox1">
          <controlPr autoLine="0" r:id="rId15">
            <anchor moveWithCells="1">
              <from>
                <xdr:col>1</xdr:col>
                <xdr:colOff>1704975</xdr:colOff>
                <xdr:row>5</xdr:row>
                <xdr:rowOff>19050</xdr:rowOff>
              </from>
              <to>
                <xdr:col>1</xdr:col>
                <xdr:colOff>3067050</xdr:colOff>
                <xdr:row>6</xdr:row>
                <xdr:rowOff>114300</xdr:rowOff>
              </to>
            </anchor>
          </controlPr>
        </control>
      </mc:Choice>
      <mc:Fallback>
        <control shapeId="21511" r:id="rId14" name="CheckBox1"/>
      </mc:Fallback>
    </mc:AlternateContent>
    <mc:AlternateContent xmlns:mc="http://schemas.openxmlformats.org/markup-compatibility/2006">
      <mc:Choice Requires="x14">
        <control shapeId="21510" r:id="rId16" name="Button 6">
          <controlPr defaultSize="0" print="0" autoFill="0" autoPict="0" macro="[0]!TestSheet">
            <anchor moveWithCells="1">
              <from>
                <xdr:col>1</xdr:col>
                <xdr:colOff>2286000</xdr:colOff>
                <xdr:row>7</xdr:row>
                <xdr:rowOff>0</xdr:rowOff>
              </from>
              <to>
                <xdr:col>1</xdr:col>
                <xdr:colOff>2924175</xdr:colOff>
                <xdr:row>8</xdr:row>
                <xdr:rowOff>57150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H115"/>
  <sheetViews>
    <sheetView topLeftCell="A2" workbookViewId="0">
      <selection activeCell="L13" sqref="L13"/>
    </sheetView>
  </sheetViews>
  <sheetFormatPr defaultColWidth="8.85546875" defaultRowHeight="12"/>
  <cols>
    <col min="1" max="1" width="23.28515625" style="15" customWidth="1"/>
    <col min="2" max="5" width="8.85546875" style="15" customWidth="1"/>
    <col min="6" max="6" width="11.7109375" style="15" customWidth="1"/>
    <col min="7" max="16384" width="8.85546875" style="15"/>
  </cols>
  <sheetData>
    <row r="2" spans="1:6">
      <c r="A2" s="15" t="s">
        <v>281</v>
      </c>
    </row>
    <row r="3" spans="1:6" ht="36">
      <c r="A3" s="156"/>
      <c r="B3" s="344" t="s">
        <v>152</v>
      </c>
      <c r="C3" s="344"/>
      <c r="D3" s="344" t="s">
        <v>81</v>
      </c>
      <c r="E3" s="344"/>
      <c r="F3" s="158" t="s">
        <v>164</v>
      </c>
    </row>
    <row r="4" spans="1:6" ht="49.15" customHeight="1">
      <c r="A4" s="157" t="s">
        <v>5</v>
      </c>
      <c r="B4" s="159" t="s">
        <v>310</v>
      </c>
      <c r="C4" s="159" t="s">
        <v>311</v>
      </c>
      <c r="D4" s="159" t="s">
        <v>312</v>
      </c>
      <c r="E4" s="159" t="s">
        <v>313</v>
      </c>
      <c r="F4" s="158" t="s">
        <v>314</v>
      </c>
    </row>
    <row r="5" spans="1:6">
      <c r="A5" s="153" t="s">
        <v>71</v>
      </c>
      <c r="B5" s="154">
        <v>10</v>
      </c>
      <c r="C5" s="154">
        <v>0.18</v>
      </c>
      <c r="D5" s="154">
        <v>5</v>
      </c>
      <c r="E5" s="154">
        <v>0.9</v>
      </c>
      <c r="F5" s="154">
        <v>20</v>
      </c>
    </row>
    <row r="6" spans="1:6">
      <c r="A6" s="153" t="s">
        <v>37</v>
      </c>
      <c r="B6" s="154">
        <v>5</v>
      </c>
      <c r="C6" s="154">
        <v>0.06</v>
      </c>
      <c r="D6" s="154">
        <v>2.5</v>
      </c>
      <c r="E6" s="154">
        <v>0.3</v>
      </c>
      <c r="F6" s="154">
        <v>150</v>
      </c>
    </row>
    <row r="7" spans="1:6">
      <c r="A7" s="153" t="s">
        <v>260</v>
      </c>
      <c r="B7" s="154">
        <v>5</v>
      </c>
      <c r="C7" s="154">
        <v>0.06</v>
      </c>
      <c r="D7" s="154">
        <v>2.5</v>
      </c>
      <c r="E7" s="154">
        <v>0.3</v>
      </c>
      <c r="F7" s="154">
        <v>5</v>
      </c>
    </row>
    <row r="8" spans="1:6">
      <c r="A8" s="153" t="s">
        <v>275</v>
      </c>
      <c r="B8" s="154">
        <v>7.5</v>
      </c>
      <c r="C8" s="154">
        <v>0.06</v>
      </c>
      <c r="D8" s="154">
        <v>3.8</v>
      </c>
      <c r="E8" s="154">
        <v>0.3</v>
      </c>
      <c r="F8" s="154">
        <v>15</v>
      </c>
    </row>
    <row r="9" spans="1:6">
      <c r="A9" s="153" t="s">
        <v>269</v>
      </c>
      <c r="B9" s="154">
        <v>7.5</v>
      </c>
      <c r="C9" s="154">
        <v>0.06</v>
      </c>
      <c r="D9" s="154">
        <v>3.8</v>
      </c>
      <c r="E9" s="154">
        <v>0.3</v>
      </c>
      <c r="F9" s="154">
        <v>25</v>
      </c>
    </row>
    <row r="10" spans="1:6">
      <c r="A10" s="153" t="s">
        <v>29</v>
      </c>
      <c r="B10" s="154">
        <v>5</v>
      </c>
      <c r="C10" s="154">
        <v>0.06</v>
      </c>
      <c r="D10" s="154">
        <v>2.5</v>
      </c>
      <c r="E10" s="154">
        <v>0.3</v>
      </c>
      <c r="F10" s="154">
        <v>20</v>
      </c>
    </row>
    <row r="11" spans="1:6">
      <c r="A11" s="153" t="s">
        <v>26</v>
      </c>
      <c r="B11" s="154">
        <v>7.5</v>
      </c>
      <c r="C11" s="154">
        <v>0.18</v>
      </c>
      <c r="D11" s="154">
        <v>3.8</v>
      </c>
      <c r="E11" s="154">
        <v>0.9</v>
      </c>
      <c r="F11" s="154">
        <v>100</v>
      </c>
    </row>
    <row r="12" spans="1:6">
      <c r="A12" s="153" t="s">
        <v>44</v>
      </c>
      <c r="B12" s="154">
        <v>20</v>
      </c>
      <c r="C12" s="154">
        <v>0.12</v>
      </c>
      <c r="D12" s="154">
        <v>10</v>
      </c>
      <c r="E12" s="154">
        <v>0.6</v>
      </c>
      <c r="F12" s="154">
        <v>25</v>
      </c>
    </row>
    <row r="13" spans="1:6">
      <c r="A13" s="153" t="s">
        <v>255</v>
      </c>
      <c r="B13" s="154">
        <v>5</v>
      </c>
      <c r="C13" s="154">
        <v>0.06</v>
      </c>
      <c r="D13" s="154">
        <v>2.5</v>
      </c>
      <c r="E13" s="154">
        <v>0.3</v>
      </c>
      <c r="F13" s="154">
        <v>10</v>
      </c>
    </row>
    <row r="14" spans="1:6">
      <c r="A14" s="153" t="s">
        <v>68</v>
      </c>
      <c r="B14" s="154">
        <v>7.5</v>
      </c>
      <c r="C14" s="154">
        <v>0.06</v>
      </c>
      <c r="D14" s="154">
        <v>3.8</v>
      </c>
      <c r="E14" s="154">
        <v>0.3</v>
      </c>
      <c r="F14" s="154">
        <v>50</v>
      </c>
    </row>
    <row r="15" spans="1:6">
      <c r="A15" s="153" t="s">
        <v>61</v>
      </c>
      <c r="B15" s="154">
        <v>10</v>
      </c>
      <c r="C15" s="154">
        <v>0.12</v>
      </c>
      <c r="D15" s="154">
        <v>5</v>
      </c>
      <c r="E15" s="154">
        <v>0.6</v>
      </c>
      <c r="F15" s="154">
        <v>40</v>
      </c>
    </row>
    <row r="16" spans="1:6">
      <c r="A16" s="153" t="s">
        <v>252</v>
      </c>
      <c r="B16" s="154">
        <v>5</v>
      </c>
      <c r="C16" s="154">
        <v>0.12</v>
      </c>
      <c r="D16" s="154">
        <v>2.5</v>
      </c>
      <c r="E16" s="154">
        <v>0.6</v>
      </c>
      <c r="F16" s="154">
        <v>50</v>
      </c>
    </row>
    <row r="17" spans="1:6">
      <c r="A17" s="153" t="s">
        <v>251</v>
      </c>
      <c r="B17" s="154">
        <v>7.5</v>
      </c>
      <c r="C17" s="154">
        <v>0.18</v>
      </c>
      <c r="D17" s="154">
        <v>3.8</v>
      </c>
      <c r="E17" s="154">
        <v>0.9</v>
      </c>
      <c r="F17" s="154">
        <v>100</v>
      </c>
    </row>
    <row r="18" spans="1:6">
      <c r="A18" s="153" t="s">
        <v>66</v>
      </c>
      <c r="B18" s="154">
        <v>5</v>
      </c>
      <c r="C18" s="154">
        <v>0.12</v>
      </c>
      <c r="D18" s="154">
        <v>2.5</v>
      </c>
      <c r="E18" s="154">
        <v>0.6</v>
      </c>
      <c r="F18" s="154">
        <v>25</v>
      </c>
    </row>
    <row r="19" spans="1:6">
      <c r="A19" s="153" t="s">
        <v>70</v>
      </c>
      <c r="B19" s="154">
        <v>10</v>
      </c>
      <c r="C19" s="154">
        <v>0.12</v>
      </c>
      <c r="D19" s="154">
        <v>5</v>
      </c>
      <c r="E19" s="154">
        <v>0.6</v>
      </c>
      <c r="F19" s="154">
        <v>35</v>
      </c>
    </row>
    <row r="20" spans="1:6">
      <c r="A20" s="155" t="s">
        <v>249</v>
      </c>
      <c r="B20" s="154">
        <v>10</v>
      </c>
      <c r="C20" s="154">
        <v>0.12</v>
      </c>
      <c r="D20" s="154">
        <v>5</v>
      </c>
      <c r="E20" s="154">
        <v>0.6</v>
      </c>
      <c r="F20" s="154">
        <v>25</v>
      </c>
    </row>
    <row r="21" spans="1:6">
      <c r="A21" s="153" t="s">
        <v>253</v>
      </c>
      <c r="B21" s="154">
        <v>5</v>
      </c>
      <c r="C21" s="154">
        <v>0.06</v>
      </c>
      <c r="D21" s="154">
        <v>2.5</v>
      </c>
      <c r="E21" s="154">
        <v>0.3</v>
      </c>
      <c r="F21" s="154">
        <v>20</v>
      </c>
    </row>
    <row r="22" spans="1:6">
      <c r="A22" s="153" t="s">
        <v>163</v>
      </c>
      <c r="B22" s="154">
        <v>7.5</v>
      </c>
      <c r="C22" s="154">
        <v>0.12</v>
      </c>
      <c r="D22" s="154">
        <v>3.8</v>
      </c>
      <c r="E22" s="154">
        <v>0.6</v>
      </c>
      <c r="F22" s="154">
        <v>20</v>
      </c>
    </row>
    <row r="23" spans="1:6">
      <c r="A23" s="153" t="s">
        <v>268</v>
      </c>
      <c r="B23" s="154">
        <v>0</v>
      </c>
      <c r="C23" s="154">
        <v>0.06</v>
      </c>
      <c r="D23" s="154">
        <v>0</v>
      </c>
      <c r="E23" s="154">
        <v>0.3</v>
      </c>
      <c r="F23" s="154"/>
    </row>
    <row r="24" spans="1:6">
      <c r="A24" s="153" t="s">
        <v>32</v>
      </c>
      <c r="B24" s="154">
        <v>5</v>
      </c>
      <c r="C24" s="154">
        <v>0.06</v>
      </c>
      <c r="D24" s="154">
        <v>2.5</v>
      </c>
      <c r="E24" s="154">
        <v>0.3</v>
      </c>
      <c r="F24" s="154">
        <v>4</v>
      </c>
    </row>
    <row r="25" spans="1:6">
      <c r="A25" s="153" t="s">
        <v>159</v>
      </c>
      <c r="B25" s="154">
        <v>10</v>
      </c>
      <c r="C25" s="154">
        <v>0.12</v>
      </c>
      <c r="D25" s="154">
        <v>5</v>
      </c>
      <c r="E25" s="154">
        <v>0.6</v>
      </c>
      <c r="F25" s="154">
        <v>25</v>
      </c>
    </row>
    <row r="26" spans="1:6">
      <c r="A26" s="153" t="s">
        <v>254</v>
      </c>
      <c r="B26" s="154">
        <v>5</v>
      </c>
      <c r="C26" s="154">
        <v>0.06</v>
      </c>
      <c r="D26" s="154">
        <v>2.5</v>
      </c>
      <c r="E26" s="154">
        <v>0.3</v>
      </c>
      <c r="F26" s="154">
        <v>50</v>
      </c>
    </row>
    <row r="27" spans="1:6">
      <c r="A27" s="153" t="s">
        <v>27</v>
      </c>
      <c r="B27" s="154">
        <v>0</v>
      </c>
      <c r="C27" s="154">
        <v>0.06</v>
      </c>
      <c r="D27" s="154">
        <v>0</v>
      </c>
      <c r="E27" s="154">
        <v>0.3</v>
      </c>
      <c r="F27" s="154">
        <v>0</v>
      </c>
    </row>
    <row r="28" spans="1:6">
      <c r="A28" s="153" t="s">
        <v>38</v>
      </c>
      <c r="B28" s="154">
        <v>5</v>
      </c>
      <c r="C28" s="154">
        <v>0.06</v>
      </c>
      <c r="D28" s="154">
        <v>2.5</v>
      </c>
      <c r="E28" s="154">
        <v>0.3</v>
      </c>
      <c r="F28" s="154">
        <v>70</v>
      </c>
    </row>
    <row r="29" spans="1:6">
      <c r="A29" s="153" t="s">
        <v>69</v>
      </c>
      <c r="B29" s="154">
        <v>10</v>
      </c>
      <c r="C29" s="154">
        <v>0.18</v>
      </c>
      <c r="D29" s="154">
        <v>5</v>
      </c>
      <c r="E29" s="154">
        <v>0.9</v>
      </c>
      <c r="F29" s="154">
        <v>25</v>
      </c>
    </row>
    <row r="30" spans="1:6">
      <c r="A30" s="153" t="s">
        <v>248</v>
      </c>
      <c r="B30" s="154">
        <v>10</v>
      </c>
      <c r="C30" s="154">
        <v>0.18</v>
      </c>
      <c r="D30" s="154">
        <v>5</v>
      </c>
      <c r="E30" s="154">
        <v>0.9</v>
      </c>
      <c r="F30" s="154">
        <v>25</v>
      </c>
    </row>
    <row r="31" spans="1:6">
      <c r="A31" s="153" t="s">
        <v>247</v>
      </c>
      <c r="B31" s="154">
        <v>5</v>
      </c>
      <c r="C31" s="154">
        <v>0.06</v>
      </c>
      <c r="D31" s="154">
        <v>2.5</v>
      </c>
      <c r="E31" s="154">
        <v>0.3</v>
      </c>
      <c r="F31" s="154">
        <v>30</v>
      </c>
    </row>
    <row r="32" spans="1:6">
      <c r="A32" s="153" t="s">
        <v>270</v>
      </c>
      <c r="B32" s="154">
        <v>20</v>
      </c>
      <c r="C32" s="154">
        <v>0.06</v>
      </c>
      <c r="D32" s="154">
        <v>10</v>
      </c>
      <c r="E32" s="154">
        <v>0.3</v>
      </c>
      <c r="F32" s="154">
        <v>100</v>
      </c>
    </row>
    <row r="33" spans="1:6">
      <c r="A33" s="153" t="s">
        <v>267</v>
      </c>
      <c r="B33" s="154">
        <v>5</v>
      </c>
      <c r="C33" s="154">
        <v>0.06</v>
      </c>
      <c r="D33" s="154">
        <v>2.5</v>
      </c>
      <c r="E33" s="154">
        <v>0.3</v>
      </c>
      <c r="F33" s="154">
        <v>2</v>
      </c>
    </row>
    <row r="34" spans="1:6">
      <c r="A34" s="153" t="s">
        <v>261</v>
      </c>
      <c r="B34" s="154">
        <v>0</v>
      </c>
      <c r="C34" s="154">
        <v>0.06</v>
      </c>
      <c r="D34" s="154">
        <v>0</v>
      </c>
      <c r="E34" s="154">
        <v>0.3</v>
      </c>
      <c r="F34" s="154">
        <v>0</v>
      </c>
    </row>
    <row r="35" spans="1:6">
      <c r="A35" s="153" t="s">
        <v>262</v>
      </c>
      <c r="B35" s="154">
        <v>0</v>
      </c>
      <c r="C35" s="154">
        <v>0.12</v>
      </c>
      <c r="D35" s="154">
        <v>0</v>
      </c>
      <c r="E35" s="154">
        <v>0.6</v>
      </c>
      <c r="F35" s="154">
        <v>0</v>
      </c>
    </row>
    <row r="36" spans="1:6">
      <c r="A36" s="153" t="s">
        <v>62</v>
      </c>
      <c r="B36" s="154">
        <v>7.5</v>
      </c>
      <c r="C36" s="154">
        <v>0.18</v>
      </c>
      <c r="D36" s="154">
        <v>3.8</v>
      </c>
      <c r="E36" s="154">
        <v>0.9</v>
      </c>
      <c r="F36" s="154">
        <v>120</v>
      </c>
    </row>
    <row r="37" spans="1:6">
      <c r="A37" s="153" t="s">
        <v>63</v>
      </c>
      <c r="B37" s="154">
        <v>7.5</v>
      </c>
      <c r="C37" s="154">
        <v>0.18</v>
      </c>
      <c r="D37" s="154">
        <v>3.8</v>
      </c>
      <c r="E37" s="154">
        <v>0.9</v>
      </c>
      <c r="F37" s="154">
        <v>20</v>
      </c>
    </row>
    <row r="38" spans="1:6" ht="48">
      <c r="A38" s="153" t="s">
        <v>276</v>
      </c>
      <c r="B38" s="154">
        <v>10</v>
      </c>
      <c r="C38" s="154">
        <v>0.18</v>
      </c>
      <c r="D38" s="154">
        <v>5</v>
      </c>
      <c r="E38" s="154">
        <v>0.9</v>
      </c>
      <c r="F38" s="154">
        <v>7</v>
      </c>
    </row>
    <row r="39" spans="1:6">
      <c r="A39" s="153" t="s">
        <v>67</v>
      </c>
      <c r="B39" s="154">
        <v>5</v>
      </c>
      <c r="C39" s="154">
        <v>0.06</v>
      </c>
      <c r="D39" s="154">
        <v>2.5</v>
      </c>
      <c r="E39" s="154">
        <v>0.3</v>
      </c>
      <c r="F39" s="154">
        <v>15</v>
      </c>
    </row>
    <row r="40" spans="1:6">
      <c r="A40" s="153" t="s">
        <v>49</v>
      </c>
      <c r="B40" s="154">
        <v>0</v>
      </c>
      <c r="C40" s="154">
        <v>0.3</v>
      </c>
      <c r="D40" s="154">
        <v>0</v>
      </c>
      <c r="E40" s="154">
        <v>1.5</v>
      </c>
      <c r="F40" s="154">
        <v>30</v>
      </c>
    </row>
    <row r="41" spans="1:6">
      <c r="A41" s="153" t="s">
        <v>271</v>
      </c>
      <c r="B41" s="154">
        <v>20</v>
      </c>
      <c r="C41" s="154">
        <v>0.06</v>
      </c>
      <c r="D41" s="154">
        <v>10</v>
      </c>
      <c r="E41" s="154">
        <v>0.3</v>
      </c>
      <c r="F41" s="154">
        <v>40</v>
      </c>
    </row>
    <row r="42" spans="1:6">
      <c r="A42" s="153" t="s">
        <v>272</v>
      </c>
      <c r="B42" s="154">
        <v>20</v>
      </c>
      <c r="C42" s="154">
        <v>0.06</v>
      </c>
      <c r="D42" s="154">
        <v>10</v>
      </c>
      <c r="E42" s="154">
        <v>0.3</v>
      </c>
      <c r="F42" s="154">
        <v>10</v>
      </c>
    </row>
    <row r="43" spans="1:6">
      <c r="A43" s="153" t="s">
        <v>277</v>
      </c>
      <c r="B43" s="154">
        <v>7.5</v>
      </c>
      <c r="C43" s="154">
        <v>0.12</v>
      </c>
      <c r="D43" s="154">
        <v>3.8</v>
      </c>
      <c r="E43" s="154">
        <v>0.6</v>
      </c>
      <c r="F43" s="154">
        <v>20</v>
      </c>
    </row>
    <row r="44" spans="1:6" ht="24">
      <c r="A44" s="153" t="s">
        <v>274</v>
      </c>
      <c r="B44" s="154">
        <v>5</v>
      </c>
      <c r="C44" s="154">
        <v>0.12</v>
      </c>
      <c r="D44" s="154">
        <v>2.5</v>
      </c>
      <c r="E44" s="154">
        <v>0.6</v>
      </c>
      <c r="F44" s="154">
        <v>10</v>
      </c>
    </row>
    <row r="45" spans="1:6">
      <c r="A45" s="153" t="s">
        <v>256</v>
      </c>
      <c r="B45" s="154">
        <v>5</v>
      </c>
      <c r="C45" s="154">
        <v>0.12</v>
      </c>
      <c r="D45" s="154">
        <v>2.5</v>
      </c>
      <c r="E45" s="154">
        <v>0.6</v>
      </c>
      <c r="F45" s="154">
        <v>10</v>
      </c>
    </row>
    <row r="46" spans="1:6">
      <c r="A46" s="153" t="s">
        <v>157</v>
      </c>
      <c r="B46" s="154">
        <v>7.5</v>
      </c>
      <c r="C46" s="154">
        <v>0.06</v>
      </c>
      <c r="D46" s="154">
        <v>3.8</v>
      </c>
      <c r="E46" s="154">
        <v>0.3</v>
      </c>
      <c r="F46" s="154">
        <v>65</v>
      </c>
    </row>
    <row r="47" spans="1:6">
      <c r="A47" s="153" t="s">
        <v>158</v>
      </c>
      <c r="B47" s="154">
        <v>7.5</v>
      </c>
      <c r="C47" s="154">
        <v>0.06</v>
      </c>
      <c r="D47" s="154">
        <v>3.8</v>
      </c>
      <c r="E47" s="154">
        <v>0.3</v>
      </c>
      <c r="F47" s="154">
        <v>150</v>
      </c>
    </row>
    <row r="48" spans="1:6">
      <c r="A48" s="153" t="s">
        <v>39</v>
      </c>
      <c r="B48" s="154">
        <v>5</v>
      </c>
      <c r="C48" s="154">
        <v>0.06</v>
      </c>
      <c r="D48" s="154">
        <v>2.5</v>
      </c>
      <c r="E48" s="154">
        <v>0.3</v>
      </c>
      <c r="F48" s="154">
        <v>50</v>
      </c>
    </row>
    <row r="49" spans="1:6">
      <c r="A49" s="153" t="s">
        <v>40</v>
      </c>
      <c r="B49" s="154">
        <v>5</v>
      </c>
      <c r="C49" s="154">
        <v>0.12</v>
      </c>
      <c r="D49" s="154">
        <v>2.5</v>
      </c>
      <c r="E49" s="154">
        <v>0.6</v>
      </c>
      <c r="F49" s="154">
        <v>10</v>
      </c>
    </row>
    <row r="50" spans="1:6">
      <c r="A50" s="153" t="s">
        <v>41</v>
      </c>
      <c r="B50" s="154">
        <v>5</v>
      </c>
      <c r="C50" s="154">
        <v>0.06</v>
      </c>
      <c r="D50" s="154">
        <v>2.5</v>
      </c>
      <c r="E50" s="154">
        <v>0.3</v>
      </c>
      <c r="F50" s="154">
        <v>150</v>
      </c>
    </row>
    <row r="51" spans="1:6">
      <c r="A51" s="153" t="s">
        <v>257</v>
      </c>
      <c r="B51" s="154">
        <v>7.5</v>
      </c>
      <c r="C51" s="154">
        <v>0.06</v>
      </c>
      <c r="D51" s="154">
        <v>3.8</v>
      </c>
      <c r="E51" s="154">
        <v>0.3</v>
      </c>
      <c r="F51" s="154">
        <v>30</v>
      </c>
    </row>
    <row r="52" spans="1:6">
      <c r="A52" s="153" t="s">
        <v>31</v>
      </c>
      <c r="B52" s="154">
        <v>5</v>
      </c>
      <c r="C52" s="154">
        <v>0.06</v>
      </c>
      <c r="D52" s="154">
        <v>2.5</v>
      </c>
      <c r="E52" s="154">
        <v>0.3</v>
      </c>
      <c r="F52" s="154">
        <v>10</v>
      </c>
    </row>
    <row r="53" spans="1:6">
      <c r="A53" s="153" t="s">
        <v>43</v>
      </c>
      <c r="B53" s="154">
        <v>7.5</v>
      </c>
      <c r="C53" s="154">
        <v>0.06</v>
      </c>
      <c r="D53" s="154">
        <v>3.8</v>
      </c>
      <c r="E53" s="154">
        <v>0.3</v>
      </c>
      <c r="F53" s="154">
        <v>40</v>
      </c>
    </row>
    <row r="54" spans="1:6">
      <c r="A54" s="155" t="s">
        <v>160</v>
      </c>
      <c r="B54" s="154">
        <v>10</v>
      </c>
      <c r="C54" s="154">
        <v>0.12</v>
      </c>
      <c r="D54" s="154">
        <v>5</v>
      </c>
      <c r="E54" s="154">
        <v>0.6</v>
      </c>
      <c r="F54" s="154">
        <v>25</v>
      </c>
    </row>
    <row r="55" spans="1:6">
      <c r="A55" s="153" t="s">
        <v>258</v>
      </c>
      <c r="B55" s="154">
        <v>5</v>
      </c>
      <c r="C55" s="154">
        <v>0.06</v>
      </c>
      <c r="D55" s="154">
        <v>2.5</v>
      </c>
      <c r="E55" s="154">
        <v>0.3</v>
      </c>
      <c r="F55" s="154">
        <v>120</v>
      </c>
    </row>
    <row r="56" spans="1:6">
      <c r="A56" s="153" t="s">
        <v>161</v>
      </c>
      <c r="B56" s="154">
        <v>7.5</v>
      </c>
      <c r="C56" s="154">
        <v>0.06</v>
      </c>
      <c r="D56" s="154">
        <v>3.8</v>
      </c>
      <c r="E56" s="154">
        <v>0.3</v>
      </c>
      <c r="F56" s="154">
        <v>100</v>
      </c>
    </row>
    <row r="57" spans="1:6">
      <c r="A57" s="153" t="s">
        <v>162</v>
      </c>
      <c r="B57" s="154">
        <v>7.5</v>
      </c>
      <c r="C57" s="154">
        <v>0.12</v>
      </c>
      <c r="D57" s="154">
        <v>3.8</v>
      </c>
      <c r="E57" s="154">
        <v>0.6</v>
      </c>
      <c r="F57" s="154">
        <v>40</v>
      </c>
    </row>
    <row r="58" spans="1:6">
      <c r="A58" s="153" t="s">
        <v>266</v>
      </c>
      <c r="B58" s="154">
        <v>7.5</v>
      </c>
      <c r="C58" s="154">
        <v>0.06</v>
      </c>
      <c r="D58" s="154">
        <v>3.8</v>
      </c>
      <c r="E58" s="154">
        <v>0.3</v>
      </c>
      <c r="F58" s="154">
        <v>40</v>
      </c>
    </row>
    <row r="59" spans="1:6">
      <c r="A59" s="153" t="s">
        <v>250</v>
      </c>
      <c r="B59" s="154">
        <v>10</v>
      </c>
      <c r="C59" s="154">
        <v>0.06</v>
      </c>
      <c r="D59" s="154">
        <v>5</v>
      </c>
      <c r="E59" s="154">
        <v>0.3</v>
      </c>
      <c r="F59" s="154">
        <v>35</v>
      </c>
    </row>
    <row r="60" spans="1:6" ht="24">
      <c r="A60" s="153" t="s">
        <v>278</v>
      </c>
      <c r="B60" s="154">
        <v>5</v>
      </c>
      <c r="C60" s="154">
        <v>0.12</v>
      </c>
      <c r="D60" s="154">
        <v>2.5</v>
      </c>
      <c r="E60" s="154">
        <v>0.6</v>
      </c>
      <c r="F60" s="154">
        <v>2</v>
      </c>
    </row>
    <row r="61" spans="1:6" ht="24">
      <c r="A61" s="153" t="s">
        <v>279</v>
      </c>
      <c r="B61" s="154">
        <v>5</v>
      </c>
      <c r="C61" s="154">
        <v>0.06</v>
      </c>
      <c r="D61" s="154">
        <v>2.5</v>
      </c>
      <c r="E61" s="154">
        <v>0.3</v>
      </c>
      <c r="F61" s="154">
        <v>2</v>
      </c>
    </row>
    <row r="62" spans="1:6">
      <c r="A62" s="153" t="s">
        <v>47</v>
      </c>
      <c r="B62" s="154">
        <v>5</v>
      </c>
      <c r="C62" s="154">
        <v>0.06</v>
      </c>
      <c r="D62" s="154">
        <v>2.5</v>
      </c>
      <c r="E62" s="154">
        <v>0.3</v>
      </c>
      <c r="F62" s="154">
        <v>5</v>
      </c>
    </row>
    <row r="63" spans="1:6">
      <c r="A63" s="153" t="s">
        <v>45</v>
      </c>
      <c r="B63" s="154">
        <v>7.5</v>
      </c>
      <c r="C63" s="154">
        <v>0.18</v>
      </c>
      <c r="D63" s="154">
        <v>3.8</v>
      </c>
      <c r="E63" s="154">
        <v>0.9</v>
      </c>
      <c r="F63" s="154">
        <v>10</v>
      </c>
    </row>
    <row r="64" spans="1:6">
      <c r="A64" s="153" t="s">
        <v>33</v>
      </c>
      <c r="B64" s="154">
        <v>5</v>
      </c>
      <c r="C64" s="154">
        <v>0.18</v>
      </c>
      <c r="D64" s="154">
        <v>2.5</v>
      </c>
      <c r="E64" s="154">
        <v>0.9</v>
      </c>
      <c r="F64" s="154">
        <v>10</v>
      </c>
    </row>
    <row r="65" spans="1:6">
      <c r="A65" s="153" t="s">
        <v>34</v>
      </c>
      <c r="B65" s="154">
        <v>5</v>
      </c>
      <c r="C65" s="154">
        <v>0.12</v>
      </c>
      <c r="D65" s="154">
        <v>2.5</v>
      </c>
      <c r="E65" s="154">
        <v>0.6</v>
      </c>
      <c r="F65" s="154">
        <v>10</v>
      </c>
    </row>
    <row r="66" spans="1:6">
      <c r="A66" s="153" t="s">
        <v>265</v>
      </c>
      <c r="B66" s="154">
        <v>5</v>
      </c>
      <c r="C66" s="154">
        <v>0.06</v>
      </c>
      <c r="D66" s="154">
        <v>2.5</v>
      </c>
      <c r="E66" s="154">
        <v>0.3</v>
      </c>
      <c r="F66" s="154">
        <v>120</v>
      </c>
    </row>
    <row r="67" spans="1:6">
      <c r="A67" s="153" t="s">
        <v>30</v>
      </c>
      <c r="B67" s="154">
        <v>5</v>
      </c>
      <c r="C67" s="154">
        <v>0.06</v>
      </c>
      <c r="D67" s="154">
        <v>2.5</v>
      </c>
      <c r="E67" s="154">
        <v>0.3</v>
      </c>
      <c r="F67" s="154">
        <v>30</v>
      </c>
    </row>
    <row r="68" spans="1:6">
      <c r="A68" s="153" t="s">
        <v>80</v>
      </c>
      <c r="B68" s="154">
        <v>7.5</v>
      </c>
      <c r="C68" s="154">
        <v>0.18</v>
      </c>
      <c r="D68" s="154">
        <v>3.8</v>
      </c>
      <c r="E68" s="154">
        <v>0.9</v>
      </c>
      <c r="F68" s="154">
        <v>70</v>
      </c>
    </row>
    <row r="69" spans="1:6">
      <c r="A69" s="153" t="s">
        <v>42</v>
      </c>
      <c r="B69" s="154">
        <v>7.5</v>
      </c>
      <c r="C69" s="154">
        <v>0.12</v>
      </c>
      <c r="D69" s="154">
        <v>3.8</v>
      </c>
      <c r="E69" s="154">
        <v>0.6</v>
      </c>
      <c r="F69" s="154">
        <v>15</v>
      </c>
    </row>
    <row r="70" spans="1:6">
      <c r="A70" s="153" t="s">
        <v>72</v>
      </c>
      <c r="B70" s="154">
        <v>10</v>
      </c>
      <c r="C70" s="154">
        <v>0.18</v>
      </c>
      <c r="D70" s="154">
        <v>5</v>
      </c>
      <c r="E70" s="154">
        <v>0.9</v>
      </c>
      <c r="F70" s="154">
        <v>25</v>
      </c>
    </row>
    <row r="71" spans="1:6">
      <c r="A71" s="153" t="s">
        <v>263</v>
      </c>
      <c r="B71" s="154">
        <v>10</v>
      </c>
      <c r="C71" s="154">
        <v>0.12</v>
      </c>
      <c r="D71" s="154">
        <v>5</v>
      </c>
      <c r="E71" s="154">
        <v>0.6</v>
      </c>
      <c r="F71" s="154">
        <v>2</v>
      </c>
    </row>
    <row r="72" spans="1:6" ht="24">
      <c r="A72" s="153" t="s">
        <v>280</v>
      </c>
      <c r="B72" s="154">
        <v>7.5</v>
      </c>
      <c r="C72" s="154">
        <v>0.12</v>
      </c>
      <c r="D72" s="154">
        <v>3.8</v>
      </c>
      <c r="E72" s="154">
        <v>0.6</v>
      </c>
      <c r="F72" s="154">
        <v>7</v>
      </c>
    </row>
    <row r="73" spans="1:6">
      <c r="A73" s="153" t="s">
        <v>59</v>
      </c>
      <c r="B73" s="154">
        <v>7.5</v>
      </c>
      <c r="C73" s="154">
        <v>0.06</v>
      </c>
      <c r="D73" s="154">
        <v>3.8</v>
      </c>
      <c r="E73" s="154">
        <v>0.3</v>
      </c>
      <c r="F73" s="154">
        <v>150</v>
      </c>
    </row>
    <row r="74" spans="1:6">
      <c r="A74" s="153" t="s">
        <v>48</v>
      </c>
      <c r="B74" s="154">
        <v>0</v>
      </c>
      <c r="C74" s="154">
        <v>0.3</v>
      </c>
      <c r="D74" s="154">
        <v>0</v>
      </c>
      <c r="E74" s="154">
        <v>1.5</v>
      </c>
      <c r="F74" s="154">
        <v>0</v>
      </c>
    </row>
    <row r="75" spans="1:6">
      <c r="A75" s="153" t="s">
        <v>64</v>
      </c>
      <c r="B75" s="154">
        <v>10</v>
      </c>
      <c r="C75" s="154">
        <v>0.06</v>
      </c>
      <c r="D75" s="154">
        <v>5</v>
      </c>
      <c r="E75" s="154">
        <v>0.3</v>
      </c>
      <c r="F75" s="154">
        <v>70</v>
      </c>
    </row>
    <row r="76" spans="1:6">
      <c r="A76" s="153" t="s">
        <v>28</v>
      </c>
      <c r="B76" s="154">
        <v>0</v>
      </c>
      <c r="C76" s="154">
        <v>0.12</v>
      </c>
      <c r="D76" s="154">
        <v>0</v>
      </c>
      <c r="E76" s="154">
        <v>0.6</v>
      </c>
      <c r="F76" s="154">
        <v>0</v>
      </c>
    </row>
    <row r="77" spans="1:6">
      <c r="A77" s="153" t="s">
        <v>46</v>
      </c>
      <c r="B77" s="154">
        <v>7.5</v>
      </c>
      <c r="C77" s="154">
        <v>0.06</v>
      </c>
      <c r="D77" s="154">
        <v>3.8</v>
      </c>
      <c r="E77" s="154">
        <v>0.3</v>
      </c>
      <c r="F77" s="154">
        <v>8</v>
      </c>
    </row>
    <row r="78" spans="1:6">
      <c r="A78" s="153" t="s">
        <v>60</v>
      </c>
      <c r="B78" s="154">
        <v>0</v>
      </c>
      <c r="C78" s="154">
        <v>0.48</v>
      </c>
      <c r="D78" s="154">
        <v>0</v>
      </c>
      <c r="E78" s="154">
        <v>2.4</v>
      </c>
      <c r="F78" s="154">
        <v>0</v>
      </c>
    </row>
    <row r="79" spans="1:6">
      <c r="A79" s="153" t="s">
        <v>264</v>
      </c>
      <c r="B79" s="154">
        <v>0</v>
      </c>
      <c r="C79" s="154">
        <v>0</v>
      </c>
      <c r="D79" s="154">
        <v>0</v>
      </c>
      <c r="E79" s="154">
        <v>0</v>
      </c>
      <c r="F79" s="154">
        <v>0</v>
      </c>
    </row>
    <row r="80" spans="1:6">
      <c r="A80" s="153" t="s">
        <v>259</v>
      </c>
      <c r="B80" s="154">
        <v>5</v>
      </c>
      <c r="C80" s="154">
        <v>0.06</v>
      </c>
      <c r="D80" s="154">
        <v>2.5</v>
      </c>
      <c r="E80" s="154">
        <v>0.3</v>
      </c>
      <c r="F80" s="154">
        <v>60</v>
      </c>
    </row>
    <row r="81" spans="1:8">
      <c r="A81" s="153" t="s">
        <v>35</v>
      </c>
      <c r="B81" s="154">
        <v>7.5</v>
      </c>
      <c r="C81" s="154">
        <v>0.06</v>
      </c>
      <c r="D81" s="154">
        <v>3.8</v>
      </c>
      <c r="E81" s="154">
        <v>0.3</v>
      </c>
      <c r="F81" s="154">
        <v>100</v>
      </c>
    </row>
    <row r="82" spans="1:8" ht="24">
      <c r="A82" s="153" t="s">
        <v>273</v>
      </c>
      <c r="B82" s="154">
        <v>10</v>
      </c>
      <c r="C82" s="154">
        <v>0.18</v>
      </c>
      <c r="D82" s="154">
        <v>5</v>
      </c>
      <c r="E82" s="154">
        <v>0.9</v>
      </c>
      <c r="F82" s="154">
        <v>25</v>
      </c>
    </row>
    <row r="83" spans="1:8">
      <c r="A83" s="153" t="s">
        <v>36</v>
      </c>
      <c r="B83" s="154">
        <v>10</v>
      </c>
      <c r="C83" s="154">
        <v>0.06</v>
      </c>
      <c r="D83" s="154">
        <v>5</v>
      </c>
      <c r="E83" s="154">
        <v>0.3</v>
      </c>
      <c r="F83" s="154">
        <v>0</v>
      </c>
    </row>
    <row r="84" spans="1:8">
      <c r="A84" s="153" t="s">
        <v>73</v>
      </c>
      <c r="B84" s="154">
        <v>10</v>
      </c>
      <c r="C84" s="154">
        <v>0.18</v>
      </c>
      <c r="D84" s="154">
        <v>5</v>
      </c>
      <c r="E84" s="154">
        <v>0.9</v>
      </c>
      <c r="F84" s="154">
        <v>20</v>
      </c>
    </row>
    <row r="85" spans="1:8">
      <c r="A85" s="164"/>
      <c r="B85" s="165"/>
      <c r="C85" s="165"/>
      <c r="D85" s="165"/>
      <c r="E85" s="165"/>
      <c r="F85" s="165"/>
      <c r="G85" s="15" t="s">
        <v>315</v>
      </c>
    </row>
    <row r="86" spans="1:8">
      <c r="A86" s="164"/>
      <c r="B86" s="165"/>
      <c r="C86" s="165"/>
      <c r="D86" s="165"/>
      <c r="E86" s="165"/>
      <c r="F86" s="165"/>
    </row>
    <row r="87" spans="1:8">
      <c r="A87" s="164"/>
      <c r="B87" s="165"/>
      <c r="C87" s="165"/>
      <c r="D87" s="165"/>
      <c r="E87" s="165"/>
      <c r="F87" s="165"/>
    </row>
    <row r="88" spans="1:8">
      <c r="A88" s="164"/>
      <c r="B88" s="165"/>
      <c r="C88" s="165"/>
      <c r="D88" s="165"/>
      <c r="E88" s="165"/>
      <c r="F88" s="165"/>
    </row>
    <row r="89" spans="1:8">
      <c r="A89" s="164"/>
      <c r="B89" s="165"/>
      <c r="C89" s="165"/>
      <c r="D89" s="165"/>
      <c r="E89" s="165"/>
      <c r="F89" s="165"/>
    </row>
    <row r="90" spans="1:8">
      <c r="A90" s="164"/>
      <c r="B90" s="165"/>
      <c r="C90" s="165"/>
      <c r="D90" s="165"/>
      <c r="E90" s="165"/>
      <c r="F90" s="165"/>
    </row>
    <row r="91" spans="1:8">
      <c r="A91" s="164"/>
      <c r="B91" s="165"/>
      <c r="C91" s="165"/>
      <c r="D91" s="165"/>
      <c r="E91" s="165"/>
      <c r="F91" s="165"/>
    </row>
    <row r="92" spans="1:8">
      <c r="A92" s="164"/>
      <c r="B92" s="165"/>
      <c r="C92" s="165"/>
      <c r="D92" s="165"/>
      <c r="E92" s="165"/>
      <c r="F92" s="165"/>
    </row>
    <row r="93" spans="1:8">
      <c r="A93" s="164"/>
      <c r="B93" s="165"/>
      <c r="C93" s="165"/>
      <c r="D93" s="165"/>
      <c r="E93" s="165"/>
      <c r="F93" s="165"/>
    </row>
    <row r="94" spans="1:8">
      <c r="A94" s="164"/>
      <c r="B94" s="165"/>
      <c r="C94" s="165"/>
      <c r="D94" s="165"/>
      <c r="E94" s="165"/>
      <c r="F94" s="165"/>
    </row>
    <row r="95" spans="1:8">
      <c r="A95" s="196"/>
      <c r="B95" s="197"/>
      <c r="C95" s="197"/>
      <c r="D95" s="197"/>
      <c r="E95" s="197"/>
      <c r="F95" s="197"/>
      <c r="G95" s="198"/>
      <c r="H95" s="198"/>
    </row>
    <row r="96" spans="1:8">
      <c r="A96" s="196"/>
      <c r="B96" s="197"/>
      <c r="C96" s="197"/>
      <c r="D96" s="197"/>
      <c r="E96" s="197"/>
      <c r="F96" s="197"/>
      <c r="G96" s="198"/>
      <c r="H96" s="198"/>
    </row>
    <row r="97" spans="1:8">
      <c r="A97" s="196"/>
      <c r="B97" s="197"/>
      <c r="C97" s="197"/>
      <c r="D97" s="197"/>
      <c r="E97" s="197"/>
      <c r="F97" s="197"/>
      <c r="G97" s="198"/>
      <c r="H97" s="198"/>
    </row>
    <row r="98" spans="1:8">
      <c r="A98" s="196"/>
      <c r="B98" s="197"/>
      <c r="C98" s="197"/>
      <c r="D98" s="197"/>
      <c r="E98" s="197"/>
      <c r="F98" s="197"/>
      <c r="G98" s="198"/>
      <c r="H98" s="198"/>
    </row>
    <row r="99" spans="1:8">
      <c r="A99" s="196"/>
      <c r="B99" s="197"/>
      <c r="C99" s="197"/>
      <c r="D99" s="197"/>
      <c r="E99" s="197"/>
      <c r="F99" s="197"/>
      <c r="G99" s="198"/>
      <c r="H99" s="198"/>
    </row>
    <row r="100" spans="1:8">
      <c r="A100" s="198"/>
      <c r="B100" s="198"/>
      <c r="C100" s="198"/>
      <c r="D100" s="198"/>
      <c r="E100" s="198"/>
      <c r="F100" s="198"/>
      <c r="G100" s="198"/>
      <c r="H100" s="198"/>
    </row>
    <row r="101" spans="1:8">
      <c r="A101" s="198"/>
      <c r="B101" s="198"/>
      <c r="C101" s="198"/>
      <c r="D101" s="198"/>
      <c r="E101" s="198"/>
      <c r="F101" s="198"/>
      <c r="G101" s="198"/>
      <c r="H101" s="198"/>
    </row>
    <row r="102" spans="1:8">
      <c r="A102" s="198"/>
      <c r="B102" s="198"/>
      <c r="C102" s="198"/>
      <c r="D102" s="198"/>
      <c r="E102" s="198"/>
      <c r="F102" s="198"/>
      <c r="G102" s="198"/>
      <c r="H102" s="198"/>
    </row>
    <row r="103" spans="1:8">
      <c r="A103" s="198"/>
      <c r="B103" s="198"/>
      <c r="C103" s="198"/>
      <c r="D103" s="198"/>
      <c r="E103" s="198"/>
      <c r="F103" s="198"/>
      <c r="G103" s="198"/>
      <c r="H103" s="198"/>
    </row>
    <row r="104" spans="1:8">
      <c r="A104" s="198"/>
      <c r="B104" s="198"/>
      <c r="C104" s="198"/>
      <c r="D104" s="198"/>
      <c r="E104" s="198"/>
      <c r="F104" s="198"/>
      <c r="G104" s="198"/>
      <c r="H104" s="198"/>
    </row>
    <row r="105" spans="1:8">
      <c r="A105" s="198"/>
      <c r="B105" s="198"/>
      <c r="C105" s="198"/>
      <c r="D105" s="198"/>
      <c r="E105" s="198"/>
      <c r="F105" s="198"/>
      <c r="G105" s="198"/>
      <c r="H105" s="198"/>
    </row>
    <row r="106" spans="1:8">
      <c r="A106" s="198"/>
      <c r="B106" s="198"/>
      <c r="C106" s="198"/>
      <c r="D106" s="198"/>
      <c r="E106" s="198"/>
      <c r="F106" s="198"/>
      <c r="G106" s="198"/>
      <c r="H106" s="198"/>
    </row>
    <row r="107" spans="1:8">
      <c r="A107" s="198"/>
      <c r="B107" s="198"/>
      <c r="C107" s="198"/>
      <c r="D107" s="198"/>
      <c r="E107" s="198"/>
      <c r="F107" s="198"/>
      <c r="G107" s="198"/>
      <c r="H107" s="198"/>
    </row>
    <row r="108" spans="1:8">
      <c r="A108" s="198"/>
      <c r="B108" s="198"/>
      <c r="C108" s="198"/>
      <c r="D108" s="198"/>
      <c r="E108" s="198"/>
      <c r="F108" s="198"/>
      <c r="G108" s="198"/>
      <c r="H108" s="198"/>
    </row>
    <row r="109" spans="1:8">
      <c r="A109" s="198"/>
      <c r="B109" s="198"/>
      <c r="C109" s="198"/>
      <c r="D109" s="198"/>
      <c r="E109" s="198"/>
      <c r="F109" s="198"/>
      <c r="G109" s="198"/>
      <c r="H109" s="198"/>
    </row>
    <row r="110" spans="1:8">
      <c r="A110" s="198"/>
      <c r="B110" s="198"/>
      <c r="C110" s="198"/>
      <c r="D110" s="198"/>
      <c r="E110" s="198"/>
      <c r="F110" s="198"/>
      <c r="G110" s="198"/>
      <c r="H110" s="198"/>
    </row>
    <row r="111" spans="1:8">
      <c r="A111" s="198"/>
      <c r="B111" s="198"/>
      <c r="C111" s="198"/>
      <c r="D111" s="198"/>
      <c r="E111" s="198"/>
      <c r="F111" s="198"/>
      <c r="G111" s="198"/>
      <c r="H111" s="198"/>
    </row>
    <row r="112" spans="1:8">
      <c r="A112" s="198"/>
      <c r="B112" s="198"/>
      <c r="C112" s="198"/>
      <c r="D112" s="198"/>
      <c r="E112" s="198"/>
      <c r="F112" s="198"/>
      <c r="G112" s="198"/>
      <c r="H112" s="198"/>
    </row>
    <row r="113" spans="1:8">
      <c r="A113" s="198"/>
      <c r="B113" s="198"/>
      <c r="C113" s="198"/>
      <c r="D113" s="198"/>
      <c r="E113" s="198"/>
      <c r="F113" s="198"/>
      <c r="G113" s="198"/>
      <c r="H113" s="198"/>
    </row>
    <row r="114" spans="1:8">
      <c r="A114" s="198"/>
      <c r="B114" s="198"/>
      <c r="C114" s="198"/>
      <c r="D114" s="198"/>
      <c r="E114" s="198"/>
      <c r="F114" s="198"/>
      <c r="G114" s="198"/>
      <c r="H114" s="198"/>
    </row>
    <row r="115" spans="1:8">
      <c r="A115" s="198"/>
      <c r="B115" s="198"/>
      <c r="C115" s="198"/>
      <c r="D115" s="198"/>
      <c r="E115" s="198"/>
      <c r="F115" s="198"/>
      <c r="G115" s="198"/>
      <c r="H115" s="198"/>
    </row>
  </sheetData>
  <sheetProtection selectLockedCells="1"/>
  <mergeCells count="2">
    <mergeCell ref="B3:C3"/>
    <mergeCell ref="D3:E3"/>
  </mergeCells>
  <phoneticPr fontId="3" type="noConversion"/>
  <pageMargins left="0.75" right="0.75" top="1" bottom="1" header="0.5" footer="0.5"/>
  <pageSetup orientation="portrait" horizontalDpi="1200" verticalDpi="1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
  <sheetViews>
    <sheetView workbookViewId="0">
      <selection activeCell="C7" sqref="C7"/>
    </sheetView>
  </sheetViews>
  <sheetFormatPr defaultRowHeight="12.75"/>
  <sheetData>
    <row r="1" spans="1:3">
      <c r="A1" t="s">
        <v>486</v>
      </c>
    </row>
    <row r="2" spans="1:3">
      <c r="B2" t="s">
        <v>487</v>
      </c>
    </row>
    <row r="3" spans="1:3">
      <c r="C3" t="s">
        <v>488</v>
      </c>
    </row>
    <row r="4" spans="1:3">
      <c r="B4" t="s">
        <v>489</v>
      </c>
    </row>
    <row r="5" spans="1:3">
      <c r="C5" t="s">
        <v>490</v>
      </c>
    </row>
    <row r="6" spans="1:3">
      <c r="C6" t="s">
        <v>491</v>
      </c>
    </row>
  </sheetData>
  <phoneticPr fontId="2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25</vt:i4>
      </vt:variant>
    </vt:vector>
  </HeadingPairs>
  <TitlesOfParts>
    <vt:vector size="30" baseType="lpstr">
      <vt:lpstr>Direct Export</vt:lpstr>
      <vt:lpstr>Directions</vt:lpstr>
      <vt:lpstr>Calc Default</vt:lpstr>
      <vt:lpstr>Table 6-1 Rates</vt:lpstr>
      <vt:lpstr>LEED Comments-1</vt:lpstr>
      <vt:lpstr>'Calc Default'!As</vt:lpstr>
      <vt:lpstr>'Direct Export'!CSISD_ES_10_Load_1</vt:lpstr>
      <vt:lpstr>'Calc Default'!Default_people_lookup</vt:lpstr>
      <vt:lpstr>'Calc Default'!error_flag</vt:lpstr>
      <vt:lpstr>'Calc Default'!Ev</vt:lpstr>
      <vt:lpstr>'Calc Default'!eval_cell</vt:lpstr>
      <vt:lpstr>'Calc Default'!ez_index</vt:lpstr>
      <vt:lpstr>'Calc Default'!ez_table</vt:lpstr>
      <vt:lpstr>'Calc Default'!Population_Diversity</vt:lpstr>
      <vt:lpstr>'Calc Default'!Print_Area</vt:lpstr>
      <vt:lpstr>'Calc Default'!Print_Titles</vt:lpstr>
      <vt:lpstr>'Calc Default'!Ps</vt:lpstr>
      <vt:lpstr>'Calc Default'!Ps_diversified</vt:lpstr>
      <vt:lpstr>'Calc Default'!ras</vt:lpstr>
      <vt:lpstr>'Calc Default'!rps</vt:lpstr>
      <vt:lpstr>'Calc Default'!str_convert</vt:lpstr>
      <vt:lpstr>'Calc Default'!TU_units</vt:lpstr>
      <vt:lpstr>'Calc Default'!V_ot_App_G</vt:lpstr>
      <vt:lpstr>'Calc Default'!V_ou</vt:lpstr>
      <vt:lpstr>'Calc Default'!Vot</vt:lpstr>
      <vt:lpstr>'Calc Default'!Vpsd</vt:lpstr>
      <vt:lpstr>'Calc Default'!Y_App_G</vt:lpstr>
      <vt:lpstr>'Calc Default'!Ypd</vt:lpstr>
      <vt:lpstr>'Calc Default'!Zone_Names_Source</vt:lpstr>
      <vt:lpstr>'Calc Default'!Zone_Names_Source_past3</vt:lpstr>
    </vt:vector>
  </TitlesOfParts>
  <Company>NIST IAQ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 reviewer</dc:creator>
  <cp:lastModifiedBy>Matt Clough</cp:lastModifiedBy>
  <cp:lastPrinted>2007-05-02T07:30:10Z</cp:lastPrinted>
  <dcterms:created xsi:type="dcterms:W3CDTF">2002-08-07T16:20:29Z</dcterms:created>
  <dcterms:modified xsi:type="dcterms:W3CDTF">2016-12-14T00:16:15Z</dcterms:modified>
</cp:coreProperties>
</file>